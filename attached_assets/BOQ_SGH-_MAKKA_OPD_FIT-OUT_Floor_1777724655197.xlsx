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F:\PRO BUILDER\from eng.ahmed\2026-03-08 SGH Makkah Hospital\2026-03-08 SGH Makkah Hospital\@ammar\"/>
    </mc:Choice>
  </mc:AlternateContent>
  <xr:revisionPtr revIDLastSave="0" documentId="13_ncr:1_{8C001D01-D9A5-4463-BB0B-FA4489350971}" xr6:coauthVersionLast="47" xr6:coauthVersionMax="47" xr10:uidLastSave="{00000000-0000-0000-0000-000000000000}"/>
  <bookViews>
    <workbookView xWindow="-108" yWindow="-108" windowWidth="23256" windowHeight="12456" tabRatio="803" activeTab="2" xr2:uid="{00000000-000D-0000-FFFF-FFFF00000000}"/>
  </bookViews>
  <sheets>
    <sheet name="Summary" sheetId="29" r:id="rId1"/>
    <sheet name="Electrical" sheetId="5" r:id="rId2"/>
    <sheet name="Low Current" sheetId="15" r:id="rId3"/>
    <sheet name="Low Current-missing" sheetId="34" r:id="rId4"/>
    <sheet name="Medical Gases" sheetId="6" r:id="rId5"/>
    <sheet name="بريك داون كهرباء" sheetId="31" r:id="rId6"/>
    <sheet name="بريك داون تيار خفيف" sheetId="32" r:id="rId7"/>
    <sheet name="بريك داون BMS" sheetId="3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X">'[1]URA-C1'!#REF!</definedName>
    <definedName name="\z">'[2]URA-C1'!#REF!</definedName>
    <definedName name="____CNF1">[3]BULD.3!#REF!</definedName>
    <definedName name="____CNF12">[3]BULD.3!#REF!</definedName>
    <definedName name="____CNH1">#REF!</definedName>
    <definedName name="____frw4">[3]BULD.3!#REF!</definedName>
    <definedName name="____frw42">[3]BULD.3!#REF!</definedName>
    <definedName name="____hbs2">[3]BULD.3!#REF!</definedName>
    <definedName name="____hbs22">[3]BULD.3!#REF!</definedName>
    <definedName name="____hbs3">[3]BULD.3!$A$42</definedName>
    <definedName name="____hbs32">[3]BULD.3!$B$42</definedName>
    <definedName name="____hcs300">[3]BULD.3!#REF!</definedName>
    <definedName name="____hcs3001">[3]BULD.3!#REF!</definedName>
    <definedName name="____HCS3002">[3]BULD.3!#REF!</definedName>
    <definedName name="____pcf1">[3]BULD.3!#REF!</definedName>
    <definedName name="____pcf12">[3]BULD.3!#REF!</definedName>
    <definedName name="____pcf2">[3]BULD.3!#REF!</definedName>
    <definedName name="____pcf22">[3]BULD.3!#REF!</definedName>
    <definedName name="____pcf3">[3]BULD.3!$A$11</definedName>
    <definedName name="____pcf32">[3]BULD.3!$B$11</definedName>
    <definedName name="____pcf4">[3]BULD.3!#REF!</definedName>
    <definedName name="____pcf42">[3]BULD.3!#REF!</definedName>
    <definedName name="____pcf5">[3]BULD.3!#REF!</definedName>
    <definedName name="____pcf52">[3]BULD.3!#REF!</definedName>
    <definedName name="____pcg1">[3]BULD.3!#REF!</definedName>
    <definedName name="____pcg12">[3]BULD.3!#REF!</definedName>
    <definedName name="____pcg2">[3]BULD.3!#REF!</definedName>
    <definedName name="____pcg22">[3]BULD.3!#REF!</definedName>
    <definedName name="____pcg3">[3]BULD.3!$A$13</definedName>
    <definedName name="____pcg32">[3]BULD.3!$B$13</definedName>
    <definedName name="____pcg4">[3]BULD.3!#REF!</definedName>
    <definedName name="____pcg42">[3]BULD.3!#REF!</definedName>
    <definedName name="____pcg5">[3]BULD.3!#REF!</definedName>
    <definedName name="____pcg52">[3]BULD.3!#REF!</definedName>
    <definedName name="____rcc2">[3]BULD.3!#REF!</definedName>
    <definedName name="____rcc22">[3]BULD.3!#REF!</definedName>
    <definedName name="____rcc3">[3]BULD.3!$A$34</definedName>
    <definedName name="____rcc32">[3]BULD.3!$B$34</definedName>
    <definedName name="____rcc52">[3]BULD.3!#REF!</definedName>
    <definedName name="____rcf1">[3]BULD.3!#REF!</definedName>
    <definedName name="____rcf12">[3]BULD.3!#REF!</definedName>
    <definedName name="____rcf2">[3]BULD.3!#REF!</definedName>
    <definedName name="____rcf22">[3]BULD.3!#REF!</definedName>
    <definedName name="____rcf3">[3]BULD.3!$A$19</definedName>
    <definedName name="____rcf32">[3]BULD.3!$B$19</definedName>
    <definedName name="____rcf4">[3]BULD.3!#REF!</definedName>
    <definedName name="____rcf42">[3]BULD.3!#REF!</definedName>
    <definedName name="____RCF5">[3]BULD.3!#REF!</definedName>
    <definedName name="____RCF52">[3]BULD.3!#REF!</definedName>
    <definedName name="____rw3">[3]BULD.3!$B$27</definedName>
    <definedName name="____rw32">[3]BULD.3!$A$27</definedName>
    <definedName name="____rw4">[3]BULD.3!#REF!</definedName>
    <definedName name="____rw42">[3]BULD.3!#REF!</definedName>
    <definedName name="____rwf3">[3]BULD.3!$A$31</definedName>
    <definedName name="____rwf32">[3]BULD.3!$B$31</definedName>
    <definedName name="____src1">[3]BULD.3!#REF!</definedName>
    <definedName name="____ssf2">[3]BULD.3!#REF!</definedName>
    <definedName name="____ssf22">[3]BULD.3!#REF!</definedName>
    <definedName name="____ssf3">[3]BULD.3!$A$38</definedName>
    <definedName name="____ssf32">[3]BULD.3!$B$38</definedName>
    <definedName name="____ssf4">[3]BULD.3!#REF!</definedName>
    <definedName name="____ssf42">[3]BULD.3!#REF!</definedName>
    <definedName name="____ssf5">[3]BULD.3!#REF!</definedName>
    <definedName name="____ssf52">[3]BULD.3!#REF!</definedName>
    <definedName name="____ssr3">[3]BULD.3!#REF!</definedName>
    <definedName name="____ssr32">[3]BULD.3!#REF!</definedName>
    <definedName name="____ssr5">[3]BULD.3!#REF!</definedName>
    <definedName name="____ssr52">[3]BULD.3!#REF!</definedName>
    <definedName name="____ssu3">[3]BULD.3!$A$76</definedName>
    <definedName name="____ssu32">[3]BULD.3!$B$76</definedName>
    <definedName name="___END1">#REF!</definedName>
    <definedName name="___END2">'[4]ground beams'!#REF!</definedName>
    <definedName name="___end5">#REF!</definedName>
    <definedName name="___end6">#REF!</definedName>
    <definedName name="___MS16">#REF!</definedName>
    <definedName name="___MS6">#REF!</definedName>
    <definedName name="___SSF33">#REF!</definedName>
    <definedName name="___STB1">#REF!</definedName>
    <definedName name="___STB2">#REF!</definedName>
    <definedName name="___STB22">#REF!</definedName>
    <definedName name="__CNF1">[3]BULD.3!#REF!</definedName>
    <definedName name="__CNF12">[3]BULD.3!#REF!</definedName>
    <definedName name="__CNH1">#REF!</definedName>
    <definedName name="__END1">#REF!</definedName>
    <definedName name="__END2">'[4]ground beams'!#REF!</definedName>
    <definedName name="__end5">#REF!</definedName>
    <definedName name="__end6">#REF!</definedName>
    <definedName name="__frw4">[3]BULD.3!#REF!</definedName>
    <definedName name="__frw42">[3]BULD.3!#REF!</definedName>
    <definedName name="__hbs2">[3]BULD.3!#REF!</definedName>
    <definedName name="__hbs22">[3]BULD.3!#REF!</definedName>
    <definedName name="__hbs3">[3]BULD.3!$A$42</definedName>
    <definedName name="__hbs32">[3]BULD.3!$B$42</definedName>
    <definedName name="__hcs300">[3]BULD.3!#REF!</definedName>
    <definedName name="__hcs3001">[3]BULD.3!#REF!</definedName>
    <definedName name="__HCS3002">[3]BULD.3!#REF!</definedName>
    <definedName name="__MS16">#REF!</definedName>
    <definedName name="__MS6">#REF!</definedName>
    <definedName name="__pcf1">[3]BULD.3!#REF!</definedName>
    <definedName name="__pcf12">[3]BULD.3!#REF!</definedName>
    <definedName name="__pcf2">[3]BULD.3!#REF!</definedName>
    <definedName name="__pcf22">[3]BULD.3!#REF!</definedName>
    <definedName name="__pcf3">[3]BULD.3!$A$11</definedName>
    <definedName name="__pcf32">[3]BULD.3!$B$11</definedName>
    <definedName name="__pcf4">[3]BULD.3!#REF!</definedName>
    <definedName name="__pcf42">[3]BULD.3!#REF!</definedName>
    <definedName name="__pcf5">[3]BULD.3!#REF!</definedName>
    <definedName name="__pcf52">[3]BULD.3!#REF!</definedName>
    <definedName name="__pcg1">[3]BULD.3!#REF!</definedName>
    <definedName name="__pcg12">[3]BULD.3!#REF!</definedName>
    <definedName name="__pcg2">[3]BULD.3!#REF!</definedName>
    <definedName name="__pcg22">[3]BULD.3!#REF!</definedName>
    <definedName name="__pcg3">[3]BULD.3!$A$13</definedName>
    <definedName name="__pcg32">[3]BULD.3!$B$13</definedName>
    <definedName name="__pcg4">[3]BULD.3!#REF!</definedName>
    <definedName name="__pcg42">[3]BULD.3!#REF!</definedName>
    <definedName name="__pcg5">[3]BULD.3!#REF!</definedName>
    <definedName name="__pcg52">[3]BULD.3!#REF!</definedName>
    <definedName name="__rcc2">[3]BULD.3!#REF!</definedName>
    <definedName name="__rcc22">[3]BULD.3!#REF!</definedName>
    <definedName name="__rcc3">[3]BULD.3!$A$34</definedName>
    <definedName name="__rcc32">[3]BULD.3!$B$34</definedName>
    <definedName name="__rcc52">[3]BULD.3!#REF!</definedName>
    <definedName name="__rcf1">[3]BULD.3!#REF!</definedName>
    <definedName name="__rcf12">[3]BULD.3!#REF!</definedName>
    <definedName name="__rcf2">[3]BULD.3!#REF!</definedName>
    <definedName name="__rcf22">[3]BULD.3!#REF!</definedName>
    <definedName name="__rcf3">[3]BULD.3!$A$19</definedName>
    <definedName name="__rcf32">[3]BULD.3!$B$19</definedName>
    <definedName name="__rcf4">[3]BULD.3!#REF!</definedName>
    <definedName name="__rcf42">[3]BULD.3!#REF!</definedName>
    <definedName name="__RCF5">[3]BULD.3!#REF!</definedName>
    <definedName name="__RCF52">[3]BULD.3!#REF!</definedName>
    <definedName name="__rw3">[3]BULD.3!$B$27</definedName>
    <definedName name="__rw32">[3]BULD.3!$A$27</definedName>
    <definedName name="__rw4">[3]BULD.3!#REF!</definedName>
    <definedName name="__rw42">[3]BULD.3!#REF!</definedName>
    <definedName name="__rwf3">[3]BULD.3!$A$31</definedName>
    <definedName name="__rwf32">[3]BULD.3!$B$31</definedName>
    <definedName name="__src1">[3]BULD.3!#REF!</definedName>
    <definedName name="__ssf2">[3]BULD.3!#REF!</definedName>
    <definedName name="__ssf22">[3]BULD.3!#REF!</definedName>
    <definedName name="__ssf3">[3]BULD.3!$A$38</definedName>
    <definedName name="__ssf32">[3]BULD.3!$B$38</definedName>
    <definedName name="__SSF33">#REF!</definedName>
    <definedName name="__ssf4">[3]BULD.3!#REF!</definedName>
    <definedName name="__ssf42">[3]BULD.3!#REF!</definedName>
    <definedName name="__ssf5">[3]BULD.3!#REF!</definedName>
    <definedName name="__ssf52">[3]BULD.3!#REF!</definedName>
    <definedName name="__ssr3">[3]BULD.3!#REF!</definedName>
    <definedName name="__ssr32">[3]BULD.3!#REF!</definedName>
    <definedName name="__ssr5">[3]BULD.3!#REF!</definedName>
    <definedName name="__ssr52">[3]BULD.3!#REF!</definedName>
    <definedName name="__ssu3">[3]BULD.3!$A$76</definedName>
    <definedName name="__ssu32">[3]BULD.3!$B$76</definedName>
    <definedName name="__STB1">#REF!</definedName>
    <definedName name="__STB2">#REF!</definedName>
    <definedName name="__STB22">#REF!</definedName>
    <definedName name="_CNF1">[5]BULD.3!#REF!</definedName>
    <definedName name="_CNF12">[5]BULD.3!#REF!</definedName>
    <definedName name="_CNH1">#REF!</definedName>
    <definedName name="_END1">#REF!</definedName>
    <definedName name="_END2">'[4]ground beams'!#REF!</definedName>
    <definedName name="_end5">#REF!</definedName>
    <definedName name="_end6">#REF!</definedName>
    <definedName name="_Fill" hidden="1">[6]URA!#REF!</definedName>
    <definedName name="_xlnm._FilterDatabase" localSheetId="1" hidden="1">Electrical!$A$3:$R$3</definedName>
    <definedName name="_xlnm._FilterDatabase" localSheetId="2" hidden="1">'Low Current'!$C$3:$C$116</definedName>
    <definedName name="_xlnm._FilterDatabase" localSheetId="3" hidden="1">'Low Current-missing'!$C$3:$C$125</definedName>
    <definedName name="_frw4">[5]BULD.3!#REF!</definedName>
    <definedName name="_frw42">[5]BULD.3!#REF!</definedName>
    <definedName name="_hbs2">[5]BULD.3!#REF!</definedName>
    <definedName name="_hbs22">[5]BULD.3!#REF!</definedName>
    <definedName name="_hbs3">[5]BULD.3!$A$42</definedName>
    <definedName name="_hbs32">[5]BULD.3!$B$42</definedName>
    <definedName name="_hcs300">[5]BULD.3!#REF!</definedName>
    <definedName name="_hcs3001">[5]BULD.3!#REF!</definedName>
    <definedName name="_HCS3002">[5]BULD.3!#REF!</definedName>
    <definedName name="_Key1" hidden="1">[6]URA!#REF!</definedName>
    <definedName name="_MS16">#REF!</definedName>
    <definedName name="_MS6">#REF!</definedName>
    <definedName name="_Order1" hidden="1">255</definedName>
    <definedName name="_pcf1">[5]BULD.3!#REF!</definedName>
    <definedName name="_pcf12">[5]BULD.3!#REF!</definedName>
    <definedName name="_pcf2">[5]BULD.3!#REF!</definedName>
    <definedName name="_pcf22">[5]BULD.3!#REF!</definedName>
    <definedName name="_pcf3">[5]BULD.3!$A$11</definedName>
    <definedName name="_pcf32">[5]BULD.3!$B$11</definedName>
    <definedName name="_pcf4">[5]BULD.3!#REF!</definedName>
    <definedName name="_pcf42">[5]BULD.3!#REF!</definedName>
    <definedName name="_pcf5">[5]BULD.3!#REF!</definedName>
    <definedName name="_pcf52">[5]BULD.3!#REF!</definedName>
    <definedName name="_pcg1">[5]BULD.3!#REF!</definedName>
    <definedName name="_pcg12">[5]BULD.3!#REF!</definedName>
    <definedName name="_pcg2">[5]BULD.3!#REF!</definedName>
    <definedName name="_pcg22">[5]BULD.3!#REF!</definedName>
    <definedName name="_pcg3">[5]BULD.3!$A$13</definedName>
    <definedName name="_pcg32">[5]BULD.3!$B$13</definedName>
    <definedName name="_pcg4">[5]BULD.3!#REF!</definedName>
    <definedName name="_pcg42">[5]BULD.3!#REF!</definedName>
    <definedName name="_pcg5">[5]BULD.3!#REF!</definedName>
    <definedName name="_pcg52">[5]BULD.3!#REF!</definedName>
    <definedName name="_rcc2">[5]BULD.3!#REF!</definedName>
    <definedName name="_rcc22">[5]BULD.3!#REF!</definedName>
    <definedName name="_rcc3">[5]BULD.3!$A$34</definedName>
    <definedName name="_rcc32">[5]BULD.3!$B$34</definedName>
    <definedName name="_rcc52">[5]BULD.3!#REF!</definedName>
    <definedName name="_rcf1">[5]BULD.3!#REF!</definedName>
    <definedName name="_rcf12">[5]BULD.3!#REF!</definedName>
    <definedName name="_rcf2">[5]BULD.3!#REF!</definedName>
    <definedName name="_rcf22">[5]BULD.3!#REF!</definedName>
    <definedName name="_rcf3">[5]BULD.3!$A$19</definedName>
    <definedName name="_rcf32">[5]BULD.3!$B$19</definedName>
    <definedName name="_rcf4">[5]BULD.3!#REF!</definedName>
    <definedName name="_rcf42">[5]BULD.3!#REF!</definedName>
    <definedName name="_RCF5">[5]BULD.3!#REF!</definedName>
    <definedName name="_RCF52">[5]BULD.3!#REF!</definedName>
    <definedName name="_rw3">[5]BULD.3!$B$27</definedName>
    <definedName name="_rw32">[5]BULD.3!$A$27</definedName>
    <definedName name="_rw4">[5]BULD.3!#REF!</definedName>
    <definedName name="_rw42">[5]BULD.3!#REF!</definedName>
    <definedName name="_rwf3">[5]BULD.3!$A$31</definedName>
    <definedName name="_rwf32">[5]BULD.3!$B$31</definedName>
    <definedName name="_Sort" hidden="1">[6]URA!#REF!</definedName>
    <definedName name="_src1">[5]BULD.3!#REF!</definedName>
    <definedName name="_ssf2">[5]BULD.3!#REF!</definedName>
    <definedName name="_ssf22">[5]BULD.3!#REF!</definedName>
    <definedName name="_ssf3">[5]BULD.3!$A$38</definedName>
    <definedName name="_ssf32">[5]BULD.3!$B$38</definedName>
    <definedName name="_SSF33">#REF!</definedName>
    <definedName name="_ssf4">[5]BULD.3!#REF!</definedName>
    <definedName name="_ssf42">[5]BULD.3!#REF!</definedName>
    <definedName name="_ssf5">[5]BULD.3!#REF!</definedName>
    <definedName name="_ssf52">[5]BULD.3!#REF!</definedName>
    <definedName name="_ssr3">[5]BULD.3!#REF!</definedName>
    <definedName name="_ssr32">[5]BULD.3!#REF!</definedName>
    <definedName name="_ssr5">[5]BULD.3!#REF!</definedName>
    <definedName name="_ssr52">[5]BULD.3!#REF!</definedName>
    <definedName name="_ssu3">[5]BULD.3!$A$76</definedName>
    <definedName name="_ssu32">[5]BULD.3!$B$76</definedName>
    <definedName name="_STB1">#REF!</definedName>
    <definedName name="_STB2">#REF!</definedName>
    <definedName name="_STB22">#REF!</definedName>
    <definedName name="aaaaaaaa254">#REF!</definedName>
    <definedName name="AAASSSSSSSSFFF">#REF!</definedName>
    <definedName name="agggdd">#REF!</definedName>
    <definedName name="ANGTF">#REF!</definedName>
    <definedName name="AREA">#REF!</definedName>
    <definedName name="AREA1">#REF!</definedName>
    <definedName name="AREA2">#REF!</definedName>
    <definedName name="BFM">#REF!</definedName>
    <definedName name="BILLING">#REF!</definedName>
    <definedName name="BMA">#REF!</definedName>
    <definedName name="BMT">#REF!</definedName>
    <definedName name="BRK">#REF!</definedName>
    <definedName name="BUT">#REF!</definedName>
    <definedName name="cement">#REF!</definedName>
    <definedName name="Cemwent">#REF!</definedName>
    <definedName name="CEND">#REF!</definedName>
    <definedName name="CGI">#REF!</definedName>
    <definedName name="CRSH0.5">#REF!</definedName>
    <definedName name="CRSH01.5">#REF!</definedName>
    <definedName name="CRUSH">#REF!</definedName>
    <definedName name="CSTART">#REF!</definedName>
    <definedName name="dsa">#REF!</definedName>
    <definedName name="EEEEEE">[5]BULD.3!#REF!</definedName>
    <definedName name="END">#REF!</definedName>
    <definedName name="Excel_BuiltIn__FilterDatabase_6">#REF!</definedName>
    <definedName name="Excel_BuiltIn__FilterDatabase_7">[7]SS!$A$8:$O$51</definedName>
    <definedName name="Excel_BuiltIn__FilterDatabase_8">#REF!</definedName>
    <definedName name="Excel_BuiltIn__FilterDatabase_9">#REF!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4">#REF!</definedName>
    <definedName name="Excel_BuiltIn_Print_Area_15">#REF!,#REF!</definedName>
    <definedName name="Excel_BuiltIn_Print_Area_16">#REF!,#REF!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0">#REF!</definedName>
    <definedName name="Excel_BuiltIn_Print_Area_21">#REF!</definedName>
    <definedName name="Excel_BuiltIn_Print_Area_22">#REF!</definedName>
    <definedName name="Excel_BuiltIn_Print_Area_23">#REF!</definedName>
    <definedName name="Excel_BuiltIn_Print_Area_24">#REF!</definedName>
    <definedName name="Excel_BuiltIn_Print_Area_25">#REF!</definedName>
    <definedName name="Excel_BuiltIn_Print_Area_26">#REF!</definedName>
    <definedName name="Excel_BuiltIn_Print_Area_27">#REF!</definedName>
    <definedName name="Excel_BuiltIn_Print_Area_28">#REF!</definedName>
    <definedName name="Excel_BuiltIn_Print_Area_29">#REF!</definedName>
    <definedName name="Excel_BuiltIn_Print_Area_3">#REF!</definedName>
    <definedName name="Excel_BuiltIn_Print_Area_30">#REF!</definedName>
    <definedName name="Excel_BuiltIn_Print_Area_31">#REF!</definedName>
    <definedName name="Excel_BuiltIn_Print_Area_32">#REF!</definedName>
    <definedName name="Excel_BuiltIn_Print_Area_33">#REF!</definedName>
    <definedName name="Excel_BuiltIn_Print_Area_34">#REF!</definedName>
    <definedName name="Excel_BuiltIn_Print_Area_35">#REF!</definedName>
    <definedName name="Excel_BuiltIn_Print_Area_36">#REF!</definedName>
    <definedName name="Excel_BuiltIn_Print_Area_37">#REF!</definedName>
    <definedName name="Excel_BuiltIn_Print_Area_38">#REF!</definedName>
    <definedName name="Excel_BuiltIn_Print_Area_39">#REF!</definedName>
    <definedName name="Excel_BuiltIn_Print_Area_4">#REF!</definedName>
    <definedName name="Excel_BuiltIn_Print_Area_40">#REF!</definedName>
    <definedName name="Excel_BuiltIn_Print_Area_41">#REF!</definedName>
    <definedName name="Excel_BuiltIn_Print_Area_42">#REF!</definedName>
    <definedName name="Excel_BuiltIn_Print_Area_43">#REF!</definedName>
    <definedName name="Excel_BuiltIn_Print_Area_44">#REF!</definedName>
    <definedName name="Excel_BuiltIn_Print_Area_45">#REF!</definedName>
    <definedName name="Excel_BuiltIn_Print_Area_46">#REF!</definedName>
    <definedName name="Excel_BuiltIn_Print_Area_47">#REF!</definedName>
    <definedName name="Excel_BuiltIn_Print_Area_48">#REF!</definedName>
    <definedName name="Excel_BuiltIn_Print_Area_49">#REF!</definedName>
    <definedName name="Excel_BuiltIn_Print_Area_5">#REF!</definedName>
    <definedName name="Excel_BuiltIn_Print_Area_50">#REF!</definedName>
    <definedName name="Excel_BuiltIn_Print_Area_51">#REF!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11">#REF!</definedName>
    <definedName name="Excel_BuiltIn_Print_Titles_12">#REF!</definedName>
    <definedName name="Excel_BuiltIn_Print_Titles_12_1">#REF!</definedName>
    <definedName name="Excel_BuiltIn_Print_Titles_14">#REF!</definedName>
    <definedName name="Excel_BuiltIn_Print_Titles_14_1">#REF!</definedName>
    <definedName name="Excel_BuiltIn_Print_Titles_15">#REF!</definedName>
    <definedName name="Excel_BuiltIn_Print_Titles_16">#REF!</definedName>
    <definedName name="Excel_BuiltIn_Print_Titles_16_1">#REF!</definedName>
    <definedName name="Excel_BuiltIn_Print_Titles_17">#REF!</definedName>
    <definedName name="Excel_BuiltIn_Print_Titles_18">#REF!</definedName>
    <definedName name="Excel_BuiltIn_Print_Titles_18_1">#REF!</definedName>
    <definedName name="Excel_BuiltIn_Print_Titles_2_1">#REF!</definedName>
    <definedName name="Excel_BuiltIn_Print_Titles_2_1_1">#REF!</definedName>
    <definedName name="Excel_BuiltIn_Print_Titles_2_1_1_1">#REF!</definedName>
    <definedName name="Excel_BuiltIn_Print_Titles_20_1">#REF!</definedName>
    <definedName name="Excel_BuiltIn_Print_Titles_21">#REF!</definedName>
    <definedName name="Excel_BuiltIn_Print_Titles_22_1">#REF!</definedName>
    <definedName name="Excel_BuiltIn_Print_Titles_23">#REF!</definedName>
    <definedName name="Excel_BuiltIn_Print_Titles_24">#REF!</definedName>
    <definedName name="Excel_BuiltIn_Print_Titles_25">#REF!</definedName>
    <definedName name="Excel_BuiltIn_Print_Titles_26">#REF!</definedName>
    <definedName name="Excel_BuiltIn_Print_Titles_27">#REF!</definedName>
    <definedName name="Excel_BuiltIn_Print_Titles_29">#REF!</definedName>
    <definedName name="Excel_BuiltIn_Print_Titles_29_1">#REF!</definedName>
    <definedName name="Excel_BuiltIn_Print_Titles_3_1">#REF!</definedName>
    <definedName name="Excel_BuiltIn_Print_Titles_31">#REF!</definedName>
    <definedName name="Excel_BuiltIn_Print_Titles_33">#REF!</definedName>
    <definedName name="Excel_BuiltIn_Print_Titles_35">#REF!</definedName>
    <definedName name="Excel_BuiltIn_Print_Titles_37">#REF!</definedName>
    <definedName name="Excel_BuiltIn_Print_Titles_4">#REF!</definedName>
    <definedName name="Excel_BuiltIn_Print_Titles_4_1">#REF!</definedName>
    <definedName name="Excel_BuiltIn_Print_Titles_5">#REF!</definedName>
    <definedName name="Excel_BuiltIn_Print_Titles_6">#REF!</definedName>
    <definedName name="Excel_BuiltIn_Print_Titles_6_1">#REF!</definedName>
    <definedName name="Excel_BuiltIn_Print_Titles_8">#REF!</definedName>
    <definedName name="Excel_BuiltIn_Print_Titles_8_1">#REF!</definedName>
    <definedName name="Excel_BuiltIn_Print_Titles_9">#REF!</definedName>
    <definedName name="EXEL">'[8]ground beams'!#REF!</definedName>
    <definedName name="ext">#REF!</definedName>
    <definedName name="fcompany">#REF!</definedName>
    <definedName name="fdate">#REF!</definedName>
    <definedName name="fdevise">#REF!</definedName>
    <definedName name="fend">#REF!</definedName>
    <definedName name="FEND2">#REF!</definedName>
    <definedName name="FF">#REF!</definedName>
    <definedName name="floor">#REF!</definedName>
    <definedName name="fstart">#REF!</definedName>
    <definedName name="FSTART1">#REF!</definedName>
    <definedName name="GLTF">#REF!</definedName>
    <definedName name="GLTW">#REF!</definedName>
    <definedName name="good">#REF!</definedName>
    <definedName name="hbnd3">[5]BULD.3!$A$50</definedName>
    <definedName name="hbnd32">[5]BULD.3!$B$50</definedName>
    <definedName name="hbrd3">[5]BULD.3!$A$64</definedName>
    <definedName name="hbrd32">[5]BULD.3!$B$64</definedName>
    <definedName name="hbsf5">[5]BULD.3!#REF!</definedName>
    <definedName name="hbsf52">[5]BULD.3!#REF!</definedName>
    <definedName name="hbsr3">[5]BULD.3!$A$71</definedName>
    <definedName name="hbsr32">[5]BULD.3!$B$71</definedName>
    <definedName name="hbsr5">[5]BULD.3!#REF!</definedName>
    <definedName name="hbsr52">[5]BULD.3!#REF!</definedName>
    <definedName name="HVAC">#REF!</definedName>
    <definedName name="javd">#REF!</definedName>
    <definedName name="METAL">[9]Civil!#REF!</definedName>
    <definedName name="MODELE">#REF!</definedName>
    <definedName name="MRC">#REF!</definedName>
    <definedName name="new">#REF!</definedName>
    <definedName name="nice">#REF!</definedName>
    <definedName name="nn">#REF!</definedName>
    <definedName name="no">#REF!</definedName>
    <definedName name="OH">'[10]BOQ KACHHI'!$H$4</definedName>
    <definedName name="ok">[11]Civil!#REF!</definedName>
    <definedName name="OPC">#REF!</definedName>
    <definedName name="PILE">#REF!</definedName>
    <definedName name="_xlnm.Print_Area" localSheetId="1">Electrical!$A$1:$R$88</definedName>
    <definedName name="_xlnm.Print_Area" localSheetId="2">'Low Current'!$A$1:$R$115</definedName>
    <definedName name="_xlnm.Print_Area" localSheetId="3">'Low Current-missing'!$A$1:$R$124</definedName>
    <definedName name="_xlnm.Print_Area" localSheetId="4">'Medical Gases'!$A$1:$R$28</definedName>
    <definedName name="_xlnm.Print_Area" localSheetId="0">Summary!$A$1:$C$19</definedName>
    <definedName name="_xlnm.Print_Area" localSheetId="5">Table6[#All]</definedName>
    <definedName name="_xlnm.Print_Area">[6]URA!#REF!</definedName>
    <definedName name="PRINT_AREA_MI">[6]URA!#REF!</definedName>
    <definedName name="_xlnm.Print_Titles" localSheetId="1">Electrical!$2:$3</definedName>
    <definedName name="_xlnm.Print_Titles" localSheetId="2">'Low Current'!$3:$3</definedName>
    <definedName name="_xlnm.Print_Titles" localSheetId="3">'Low Current-missing'!$3:$3</definedName>
    <definedName name="PROJ">#REF!</definedName>
    <definedName name="PROJ1">#REF!</definedName>
    <definedName name="PROJ2">#REF!</definedName>
    <definedName name="proj6">#REF!</definedName>
    <definedName name="Projector">#REF!</definedName>
    <definedName name="RCC">[12]FOOTING!$A$8</definedName>
    <definedName name="rccg4">[5]BULD.3!#REF!</definedName>
    <definedName name="rccg42">[5]BULD.3!#REF!</definedName>
    <definedName name="rccg5">[5]BULD.3!#REF!</definedName>
    <definedName name="rccn2">[5]BULD.3!#REF!</definedName>
    <definedName name="rccn22">[5]BULD.3!#REF!</definedName>
    <definedName name="RCCN3">[5]BULD.3!$A$21</definedName>
    <definedName name="RCCN4">[5]BULD.3!#REF!</definedName>
    <definedName name="RCCN42">[5]BULD.3!#REF!</definedName>
    <definedName name="RCCN5">[5]BULD.3!#REF!</definedName>
    <definedName name="RCCN52">[5]BULD.3!#REF!</definedName>
    <definedName name="rccnd3">[5]BULD.3!$A$48</definedName>
    <definedName name="rccnd32">[5]BULD.3!$B$48</definedName>
    <definedName name="rccr3">[5]BULD.3!$A$67</definedName>
    <definedName name="rccr32">[5]BULD.3!$B$67</definedName>
    <definedName name="rccrd3">[5]BULD.3!$A$58</definedName>
    <definedName name="rccrd32">[5]BULD.3!$B$58</definedName>
    <definedName name="rccst3">[5]BULD.3!$A$44</definedName>
    <definedName name="rccst32">[5]BULD.3!$B$44</definedName>
    <definedName name="rccst5">[5]BULD.3!#REF!</definedName>
    <definedName name="rccst52">[5]BULD.3!#REF!</definedName>
    <definedName name="RCDB2">[5]BULD.3!#REF!</definedName>
    <definedName name="RCDB22">[5]BULD.3!#REF!</definedName>
    <definedName name="rcdb3">[5]BULD.3!$A$40</definedName>
    <definedName name="rcdb32">[5]BULD.3!$B$40</definedName>
    <definedName name="rcdb5">[5]BULD.3!#REF!</definedName>
    <definedName name="rcdb52">[5]BULD.3!#REF!</definedName>
    <definedName name="rcdbrd3">[5]BULD.3!$A$60</definedName>
    <definedName name="rcdbrd32">[5]BULD.3!$B$60</definedName>
    <definedName name="rcdf4">[5]BULD.3!#REF!</definedName>
    <definedName name="rcdf42">[5]BULD.3!#REF!</definedName>
    <definedName name="rcdnd3">[5]BULD.3!$A$54</definedName>
    <definedName name="rcdnd32">[5]BULD.3!$B$54</definedName>
    <definedName name="rcdr3">[5]BULD.3!$A$69</definedName>
    <definedName name="rcdr32">[5]BULD.3!$B$69</definedName>
    <definedName name="RCDR5">[5]BULD.3!#REF!</definedName>
    <definedName name="RCDR52">[5]BULD.3!#REF!</definedName>
    <definedName name="rcdrd3">[5]BULD.3!$A$69</definedName>
    <definedName name="rcdrd32">[5]BULD.3!$B$69</definedName>
    <definedName name="rcdu3">[5]BULD.3!$A$74</definedName>
    <definedName name="rcdu32">[5]BULD.3!$B$74</definedName>
    <definedName name="rcff">[5]BULD.3!#REF!</definedName>
    <definedName name="rcff2">[5]BULD.3!#REF!</definedName>
    <definedName name="RCFGB">[5]BULD.3!#REF!</definedName>
    <definedName name="RCFGB2">[5]BULD.3!#REF!</definedName>
    <definedName name="RCGB">[5]BULD.3!#REF!</definedName>
    <definedName name="RCGB2">[5]BULD.3!#REF!</definedName>
    <definedName name="rcgc2">[5]BULD.3!#REF!</definedName>
    <definedName name="rcgc22">[5]BULD.3!#REF!</definedName>
    <definedName name="rcmgb">[5]BULD.3!#REF!</definedName>
    <definedName name="RCMGB2">[5]BULD.3!#REF!</definedName>
    <definedName name="rcnd3">[5]BULD.3!$A$48</definedName>
    <definedName name="rcnd32">[5]BULD.3!$B$48</definedName>
    <definedName name="rcogb">[5]BULD.3!#REF!</definedName>
    <definedName name="rcogb2">[5]BULD.3!#REF!</definedName>
    <definedName name="rcsgb">[5]BULD.3!$A$23</definedName>
    <definedName name="rcsgb2">[5]BULD.3!$B$23</definedName>
    <definedName name="RCSOG2">[5]BULD.3!#REF!</definedName>
    <definedName name="RCSOG22">[5]BULD.3!#REF!</definedName>
    <definedName name="rcsog3">[5]BULD.3!$A$25</definedName>
    <definedName name="rcsog32">[5]BULD.3!$B$25</definedName>
    <definedName name="rcsog4">[5]BULD.3!#REF!</definedName>
    <definedName name="rcsog42">[5]BULD.3!#REF!</definedName>
    <definedName name="rcsog5">[5]BULD.3!#REF!</definedName>
    <definedName name="rcsog52">[5]BULD.3!#REF!</definedName>
    <definedName name="RCWGB">[5]BULD.3!#REF!</definedName>
    <definedName name="RCWGB2">[5]BULD.3!#REF!</definedName>
    <definedName name="RG">#REF!</definedName>
    <definedName name="Sand">#REF!</definedName>
    <definedName name="SAP">#REF!</definedName>
    <definedName name="SNDC">#REF!</definedName>
    <definedName name="SNDM">#REF!</definedName>
    <definedName name="SSHC">#REF!</definedName>
    <definedName name="ssnd3">[5]BULD.3!$A$52</definedName>
    <definedName name="ssnd32">[5]BULD.3!$B$52</definedName>
    <definedName name="ssrd3">[5]BULD.3!$A$62</definedName>
    <definedName name="ssrd32">[5]BULD.3!$B$62</definedName>
    <definedName name="ssss">#REF!</definedName>
    <definedName name="START">#REF!</definedName>
    <definedName name="START1">#REF!</definedName>
    <definedName name="START2">'[4]ground beams'!#REF!</definedName>
    <definedName name="start3">#REF!</definedName>
    <definedName name="start5">#REF!</definedName>
    <definedName name="STSTART">#REF!</definedName>
    <definedName name="TOP">#REF!</definedName>
    <definedName name="total">#REF!</definedName>
    <definedName name="totalf">#REF!</definedName>
    <definedName name="totao">#REF!</definedName>
    <definedName name="tr">[6]URA!#REF!</definedName>
    <definedName name="tt" hidden="1">[6]URA!#REF!</definedName>
    <definedName name="ttt" hidden="1">[6]URA!#REF!</definedName>
    <definedName name="tttt" hidden="1">[6]URA!#REF!</definedName>
    <definedName name="ttttt">[6]URA!#REF!</definedName>
    <definedName name="UEC">#REF!</definedName>
    <definedName name="UES">#REF!</definedName>
    <definedName name="under">#REF!</definedName>
    <definedName name="waris">#REF!</definedName>
    <definedName name="was">'[8]ground beams'!#REF!</definedName>
    <definedName name="WC">#REF!</definedName>
    <definedName name="WCement">'[13]MATERIALS - RATES '!#REF!</definedName>
    <definedName name="WES">#REF!</definedName>
    <definedName name="WESAM">'[8]ground beams'!#REF!</definedName>
    <definedName name="WESSAM2">'[8]ground beams'!#REF!</definedName>
    <definedName name="WEST">#REF!</definedName>
    <definedName name="yess">#REF!</definedName>
    <definedName name="zone">#REF!</definedName>
    <definedName name="ZONE11">[5]BULD.3!#REF!</definedName>
    <definedName name="zone2">[5]BULD.3!#REF!</definedName>
    <definedName name="zone3">[5]BULD.3!#REF!</definedName>
    <definedName name="zone4">[5]BULD.3!#REF!</definedName>
    <definedName name="zone5">[5]BULD.3!#REF!</definedName>
  </definedNam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5" i="15" l="1"/>
  <c r="L21" i="6"/>
  <c r="K122" i="34"/>
  <c r="H122" i="34" s="1"/>
  <c r="E122" i="34" s="1"/>
  <c r="F122" i="34" s="1"/>
  <c r="K121" i="34"/>
  <c r="H121" i="34" s="1"/>
  <c r="E121" i="34" s="1"/>
  <c r="F121" i="34" s="1"/>
  <c r="K119" i="34"/>
  <c r="H119" i="34" s="1"/>
  <c r="E119" i="34" s="1"/>
  <c r="F119" i="34" s="1"/>
  <c r="K118" i="34"/>
  <c r="H118" i="34" s="1"/>
  <c r="E118" i="34" s="1"/>
  <c r="F118" i="34" s="1"/>
  <c r="K117" i="34"/>
  <c r="H117" i="34" s="1"/>
  <c r="E117" i="34" s="1"/>
  <c r="F117" i="34" s="1"/>
  <c r="K116" i="34"/>
  <c r="H116" i="34" s="1"/>
  <c r="E116" i="34" s="1"/>
  <c r="F116" i="34" s="1"/>
  <c r="K115" i="34"/>
  <c r="H115" i="34" s="1"/>
  <c r="E115" i="34" s="1"/>
  <c r="F115" i="34" s="1"/>
  <c r="K114" i="34"/>
  <c r="H114" i="34" s="1"/>
  <c r="E114" i="34" s="1"/>
  <c r="F114" i="34" s="1"/>
  <c r="K113" i="34"/>
  <c r="H113" i="34" s="1"/>
  <c r="E113" i="34" s="1"/>
  <c r="F113" i="34" s="1"/>
  <c r="K112" i="34"/>
  <c r="H112" i="34" s="1"/>
  <c r="E112" i="34" s="1"/>
  <c r="F112" i="34" s="1"/>
  <c r="K111" i="34"/>
  <c r="H111" i="34" s="1"/>
  <c r="E111" i="34" s="1"/>
  <c r="F111" i="34" s="1"/>
  <c r="K110" i="34"/>
  <c r="H110" i="34" s="1"/>
  <c r="E110" i="34" s="1"/>
  <c r="F110" i="34" s="1"/>
  <c r="K109" i="34"/>
  <c r="H109" i="34" s="1"/>
  <c r="E109" i="34" s="1"/>
  <c r="F109" i="34" s="1"/>
  <c r="K108" i="34"/>
  <c r="H108" i="34" s="1"/>
  <c r="E108" i="34" s="1"/>
  <c r="F108" i="34" s="1"/>
  <c r="K107" i="34"/>
  <c r="H107" i="34" s="1"/>
  <c r="E107" i="34" s="1"/>
  <c r="F107" i="34" s="1"/>
  <c r="K106" i="34"/>
  <c r="H106" i="34" s="1"/>
  <c r="E106" i="34" s="1"/>
  <c r="F106" i="34" s="1"/>
  <c r="K105" i="34"/>
  <c r="H105" i="34" s="1"/>
  <c r="E105" i="34" s="1"/>
  <c r="F105" i="34" s="1"/>
  <c r="K104" i="34"/>
  <c r="H104" i="34" s="1"/>
  <c r="E104" i="34" s="1"/>
  <c r="F104" i="34" s="1"/>
  <c r="K101" i="34"/>
  <c r="H101" i="34" s="1"/>
  <c r="K100" i="34"/>
  <c r="H100" i="34" s="1"/>
  <c r="E100" i="34" s="1"/>
  <c r="F100" i="34" s="1"/>
  <c r="K99" i="34"/>
  <c r="H99" i="34" s="1"/>
  <c r="E99" i="34" s="1"/>
  <c r="F99" i="34" s="1"/>
  <c r="K98" i="34"/>
  <c r="H98" i="34" s="1"/>
  <c r="E98" i="34" s="1"/>
  <c r="F98" i="34" s="1"/>
  <c r="K97" i="34"/>
  <c r="H97" i="34" s="1"/>
  <c r="E97" i="34" s="1"/>
  <c r="F97" i="34" s="1"/>
  <c r="K96" i="34"/>
  <c r="H96" i="34" s="1"/>
  <c r="E96" i="34" s="1"/>
  <c r="F96" i="34" s="1"/>
  <c r="K95" i="34"/>
  <c r="H95" i="34" s="1"/>
  <c r="E95" i="34" s="1"/>
  <c r="F95" i="34" s="1"/>
  <c r="K94" i="34"/>
  <c r="H94" i="34" s="1"/>
  <c r="E94" i="34" s="1"/>
  <c r="F94" i="34" s="1"/>
  <c r="K93" i="34"/>
  <c r="H93" i="34" s="1"/>
  <c r="E93" i="34" s="1"/>
  <c r="F93" i="34" s="1"/>
  <c r="K92" i="34"/>
  <c r="H92" i="34" s="1"/>
  <c r="E92" i="34" s="1"/>
  <c r="F92" i="34" s="1"/>
  <c r="K87" i="34"/>
  <c r="H87" i="34" s="1"/>
  <c r="E87" i="34" s="1"/>
  <c r="F87" i="34" s="1"/>
  <c r="K86" i="34"/>
  <c r="H86" i="34" s="1"/>
  <c r="E86" i="34" s="1"/>
  <c r="F86" i="34" s="1"/>
  <c r="K85" i="34"/>
  <c r="H85" i="34" s="1"/>
  <c r="E85" i="34" s="1"/>
  <c r="F85" i="34" s="1"/>
  <c r="K84" i="34"/>
  <c r="H84" i="34" s="1"/>
  <c r="E84" i="34" s="1"/>
  <c r="F84" i="34" s="1"/>
  <c r="K83" i="34"/>
  <c r="H83" i="34" s="1"/>
  <c r="E83" i="34" s="1"/>
  <c r="F83" i="34" s="1"/>
  <c r="K82" i="34"/>
  <c r="H82" i="34" s="1"/>
  <c r="E82" i="34" s="1"/>
  <c r="F82" i="34" s="1"/>
  <c r="K81" i="34"/>
  <c r="H81" i="34" s="1"/>
  <c r="E81" i="34" s="1"/>
  <c r="F81" i="34" s="1"/>
  <c r="K80" i="34"/>
  <c r="H80" i="34" s="1"/>
  <c r="E80" i="34" s="1"/>
  <c r="F80" i="34" s="1"/>
  <c r="K79" i="34"/>
  <c r="H79" i="34" s="1"/>
  <c r="E79" i="34" s="1"/>
  <c r="F79" i="34" s="1"/>
  <c r="K78" i="34"/>
  <c r="H78" i="34" s="1"/>
  <c r="E78" i="34" s="1"/>
  <c r="F78" i="34" s="1"/>
  <c r="K77" i="34"/>
  <c r="H77" i="34" s="1"/>
  <c r="E77" i="34" s="1"/>
  <c r="F77" i="34" s="1"/>
  <c r="K76" i="34"/>
  <c r="H76" i="34" s="1"/>
  <c r="E76" i="34" s="1"/>
  <c r="F76" i="34" s="1"/>
  <c r="K72" i="34"/>
  <c r="H72" i="34" s="1"/>
  <c r="E72" i="34" s="1"/>
  <c r="F72" i="34" s="1"/>
  <c r="K71" i="34"/>
  <c r="H71" i="34" s="1"/>
  <c r="E71" i="34" s="1"/>
  <c r="F71" i="34" s="1"/>
  <c r="K70" i="34"/>
  <c r="H70" i="34" s="1"/>
  <c r="E70" i="34" s="1"/>
  <c r="F70" i="34" s="1"/>
  <c r="K69" i="34"/>
  <c r="H69" i="34" s="1"/>
  <c r="E69" i="34" s="1"/>
  <c r="F69" i="34" s="1"/>
  <c r="K68" i="34"/>
  <c r="H68" i="34" s="1"/>
  <c r="E68" i="34" s="1"/>
  <c r="F68" i="34" s="1"/>
  <c r="K67" i="34"/>
  <c r="H67" i="34" s="1"/>
  <c r="E67" i="34" s="1"/>
  <c r="F67" i="34" s="1"/>
  <c r="K66" i="34"/>
  <c r="H66" i="34" s="1"/>
  <c r="E66" i="34" s="1"/>
  <c r="F66" i="34" s="1"/>
  <c r="K65" i="34"/>
  <c r="H65" i="34" s="1"/>
  <c r="E65" i="34" s="1"/>
  <c r="F65" i="34" s="1"/>
  <c r="K64" i="34"/>
  <c r="H64" i="34" s="1"/>
  <c r="E64" i="34" s="1"/>
  <c r="F64" i="34" s="1"/>
  <c r="K63" i="34"/>
  <c r="H63" i="34" s="1"/>
  <c r="E63" i="34" s="1"/>
  <c r="F63" i="34" s="1"/>
  <c r="K62" i="34"/>
  <c r="H62" i="34" s="1"/>
  <c r="E62" i="34" s="1"/>
  <c r="F62" i="34" s="1"/>
  <c r="K61" i="34"/>
  <c r="H61" i="34" s="1"/>
  <c r="E61" i="34" s="1"/>
  <c r="F61" i="34" s="1"/>
  <c r="K60" i="34"/>
  <c r="H60" i="34" s="1"/>
  <c r="E60" i="34" s="1"/>
  <c r="F60" i="34" s="1"/>
  <c r="K59" i="34"/>
  <c r="H59" i="34" s="1"/>
  <c r="E59" i="34" s="1"/>
  <c r="F59" i="34" s="1"/>
  <c r="K55" i="34"/>
  <c r="H55" i="34" s="1"/>
  <c r="E55" i="34" s="1"/>
  <c r="F55" i="34" s="1"/>
  <c r="K54" i="34"/>
  <c r="H54" i="34" s="1"/>
  <c r="E54" i="34" s="1"/>
  <c r="F54" i="34" s="1"/>
  <c r="K53" i="34"/>
  <c r="H53" i="34" s="1"/>
  <c r="E53" i="34" s="1"/>
  <c r="F53" i="34" s="1"/>
  <c r="K49" i="34"/>
  <c r="H49" i="34" s="1"/>
  <c r="E49" i="34" s="1"/>
  <c r="F49" i="34" s="1"/>
  <c r="K48" i="34"/>
  <c r="H48" i="34" s="1"/>
  <c r="E48" i="34" s="1"/>
  <c r="F48" i="34" s="1"/>
  <c r="K47" i="34"/>
  <c r="H47" i="34" s="1"/>
  <c r="E47" i="34" s="1"/>
  <c r="F47" i="34" s="1"/>
  <c r="K46" i="34"/>
  <c r="H46" i="34" s="1"/>
  <c r="E46" i="34" s="1"/>
  <c r="F46" i="34" s="1"/>
  <c r="K45" i="34"/>
  <c r="H45" i="34" s="1"/>
  <c r="E45" i="34" s="1"/>
  <c r="F45" i="34" s="1"/>
  <c r="K44" i="34"/>
  <c r="H44" i="34" s="1"/>
  <c r="E44" i="34" s="1"/>
  <c r="F44" i="34" s="1"/>
  <c r="K43" i="34"/>
  <c r="H43" i="34" s="1"/>
  <c r="E43" i="34" s="1"/>
  <c r="F43" i="34" s="1"/>
  <c r="K42" i="34"/>
  <c r="H42" i="34" s="1"/>
  <c r="E42" i="34" s="1"/>
  <c r="F42" i="34" s="1"/>
  <c r="K41" i="34"/>
  <c r="H41" i="34" s="1"/>
  <c r="E41" i="34" s="1"/>
  <c r="F41" i="34" s="1"/>
  <c r="K37" i="34"/>
  <c r="H37" i="34" s="1"/>
  <c r="K36" i="34"/>
  <c r="H36" i="34" s="1"/>
  <c r="E36" i="34" s="1"/>
  <c r="F36" i="34" s="1"/>
  <c r="K35" i="34"/>
  <c r="H35" i="34" s="1"/>
  <c r="E35" i="34" s="1"/>
  <c r="F35" i="34" s="1"/>
  <c r="K34" i="34"/>
  <c r="H34" i="34" s="1"/>
  <c r="E34" i="34" s="1"/>
  <c r="F34" i="34" s="1"/>
  <c r="K33" i="34"/>
  <c r="H33" i="34" s="1"/>
  <c r="E33" i="34" s="1"/>
  <c r="F33" i="34" s="1"/>
  <c r="K32" i="34"/>
  <c r="H32" i="34" s="1"/>
  <c r="E32" i="34" s="1"/>
  <c r="F32" i="34" s="1"/>
  <c r="K31" i="34"/>
  <c r="H31" i="34" s="1"/>
  <c r="E31" i="34" s="1"/>
  <c r="F31" i="34" s="1"/>
  <c r="K28" i="34"/>
  <c r="H28" i="34" s="1"/>
  <c r="K27" i="34"/>
  <c r="H27" i="34" s="1"/>
  <c r="E27" i="34" s="1"/>
  <c r="F27" i="34" s="1"/>
  <c r="K26" i="34"/>
  <c r="H26" i="34" s="1"/>
  <c r="E26" i="34" s="1"/>
  <c r="F26" i="34" s="1"/>
  <c r="K25" i="34"/>
  <c r="H25" i="34" s="1"/>
  <c r="E25" i="34" s="1"/>
  <c r="F25" i="34" s="1"/>
  <c r="K24" i="34"/>
  <c r="H24" i="34" s="1"/>
  <c r="E24" i="34" s="1"/>
  <c r="F24" i="34" s="1"/>
  <c r="K23" i="34"/>
  <c r="H23" i="34" s="1"/>
  <c r="E23" i="34" s="1"/>
  <c r="F23" i="34" s="1"/>
  <c r="K22" i="34"/>
  <c r="H22" i="34" s="1"/>
  <c r="E22" i="34" s="1"/>
  <c r="F22" i="34" s="1"/>
  <c r="K21" i="34"/>
  <c r="H21" i="34" s="1"/>
  <c r="E21" i="34" s="1"/>
  <c r="F21" i="34" s="1"/>
  <c r="K20" i="34"/>
  <c r="H20" i="34" s="1"/>
  <c r="E20" i="34" s="1"/>
  <c r="F20" i="34" s="1"/>
  <c r="K19" i="34"/>
  <c r="H19" i="34" s="1"/>
  <c r="E19" i="34" s="1"/>
  <c r="F19" i="34" s="1"/>
  <c r="K15" i="34"/>
  <c r="H15" i="34" s="1"/>
  <c r="E15" i="34" s="1"/>
  <c r="F15" i="34" s="1"/>
  <c r="K14" i="34"/>
  <c r="H14" i="34" s="1"/>
  <c r="E14" i="34" s="1"/>
  <c r="F14" i="34" s="1"/>
  <c r="K13" i="34"/>
  <c r="H13" i="34" s="1"/>
  <c r="E13" i="34" s="1"/>
  <c r="F13" i="34" s="1"/>
  <c r="K12" i="34"/>
  <c r="H12" i="34" s="1"/>
  <c r="E12" i="34" s="1"/>
  <c r="F12" i="34" s="1"/>
  <c r="K11" i="34"/>
  <c r="H11" i="34" s="1"/>
  <c r="E11" i="34" s="1"/>
  <c r="F11" i="34" s="1"/>
  <c r="K10" i="34"/>
  <c r="H10" i="34" s="1"/>
  <c r="E10" i="34" s="1"/>
  <c r="F10" i="34" s="1"/>
  <c r="K9" i="34"/>
  <c r="H9" i="34" s="1"/>
  <c r="E9" i="34" s="1"/>
  <c r="F9" i="34" s="1"/>
  <c r="K8" i="34"/>
  <c r="H8" i="34" s="1"/>
  <c r="E8" i="34" s="1"/>
  <c r="F8" i="34" s="1"/>
  <c r="K7" i="34"/>
  <c r="H7" i="34" s="1"/>
  <c r="E7" i="34" s="1"/>
  <c r="F7" i="34" s="1"/>
  <c r="F124" i="34" l="1"/>
  <c r="C13" i="29" s="1"/>
  <c r="K29" i="6" l="1"/>
  <c r="H29" i="6" s="1"/>
  <c r="K55" i="15"/>
  <c r="H55" i="15" s="1"/>
  <c r="K24" i="15"/>
  <c r="H24" i="15" s="1"/>
  <c r="K17" i="15"/>
  <c r="H17" i="15" s="1"/>
  <c r="K108" i="15" l="1"/>
  <c r="H108" i="15" s="1"/>
  <c r="K107" i="15"/>
  <c r="H107" i="15" s="1"/>
  <c r="K106" i="15"/>
  <c r="H106" i="15" s="1"/>
  <c r="K105" i="15"/>
  <c r="H105" i="15" s="1"/>
  <c r="K104" i="15"/>
  <c r="H104" i="15" s="1"/>
  <c r="K103" i="15"/>
  <c r="H103" i="15" s="1"/>
  <c r="K102" i="15"/>
  <c r="H102" i="15" s="1"/>
  <c r="K101" i="15"/>
  <c r="H101" i="15" s="1"/>
  <c r="K100" i="15"/>
  <c r="H100" i="15" s="1"/>
  <c r="K99" i="15"/>
  <c r="H99" i="15" s="1"/>
  <c r="K98" i="15"/>
  <c r="H98" i="15" s="1"/>
  <c r="K97" i="15"/>
  <c r="H97" i="15" s="1"/>
  <c r="K96" i="15"/>
  <c r="H96" i="15" s="1"/>
  <c r="K95" i="15"/>
  <c r="H95" i="15" s="1"/>
  <c r="K94" i="15"/>
  <c r="H94" i="15" s="1"/>
  <c r="K93" i="15"/>
  <c r="H93" i="15" s="1"/>
  <c r="K92" i="15"/>
  <c r="H92" i="15" s="1"/>
  <c r="K91" i="15"/>
  <c r="H91" i="15" s="1"/>
  <c r="K90" i="15"/>
  <c r="H90" i="15" s="1"/>
  <c r="K89" i="15"/>
  <c r="H89" i="15" s="1"/>
  <c r="K88" i="15"/>
  <c r="H88" i="15" s="1"/>
  <c r="K87" i="15"/>
  <c r="H87" i="15" s="1"/>
  <c r="K86" i="15"/>
  <c r="H86" i="15" s="1"/>
  <c r="K85" i="15"/>
  <c r="H85" i="15" s="1"/>
  <c r="K84" i="15"/>
  <c r="H84" i="15" s="1"/>
  <c r="K83" i="15"/>
  <c r="H83" i="15" s="1"/>
  <c r="K82" i="15"/>
  <c r="H82" i="15" s="1"/>
  <c r="K81" i="15"/>
  <c r="H81" i="15" s="1"/>
  <c r="K80" i="15"/>
  <c r="H80" i="15" s="1"/>
  <c r="K79" i="15"/>
  <c r="H79" i="15" s="1"/>
  <c r="K78" i="15"/>
  <c r="H78" i="15" s="1"/>
  <c r="K77" i="15"/>
  <c r="H77" i="15" s="1"/>
  <c r="K76" i="15"/>
  <c r="H76" i="15" s="1"/>
  <c r="K72" i="15"/>
  <c r="H72" i="15" s="1"/>
  <c r="E72" i="15" s="1"/>
  <c r="K73" i="15"/>
  <c r="H73" i="15" s="1"/>
  <c r="E73" i="15" s="1"/>
  <c r="K71" i="15"/>
  <c r="H71" i="15" s="1"/>
  <c r="E71" i="15" s="1"/>
  <c r="K58" i="15"/>
  <c r="K59" i="15"/>
  <c r="H59" i="15" s="1"/>
  <c r="E59" i="15" s="1"/>
  <c r="K60" i="15"/>
  <c r="H60" i="15" s="1"/>
  <c r="E60" i="15" s="1"/>
  <c r="K61" i="15"/>
  <c r="H61" i="15" s="1"/>
  <c r="E61" i="15" s="1"/>
  <c r="K62" i="15"/>
  <c r="H62" i="15" s="1"/>
  <c r="E62" i="15" s="1"/>
  <c r="K63" i="15"/>
  <c r="H63" i="15" s="1"/>
  <c r="E63" i="15" s="1"/>
  <c r="K64" i="15"/>
  <c r="H64" i="15" s="1"/>
  <c r="E64" i="15" s="1"/>
  <c r="K65" i="15"/>
  <c r="H65" i="15" s="1"/>
  <c r="E65" i="15" s="1"/>
  <c r="K66" i="15"/>
  <c r="H66" i="15" s="1"/>
  <c r="E66" i="15" s="1"/>
  <c r="K67" i="15"/>
  <c r="H67" i="15" s="1"/>
  <c r="E67" i="15" s="1"/>
  <c r="K68" i="15"/>
  <c r="H68" i="15" s="1"/>
  <c r="E68" i="15" s="1"/>
  <c r="K69" i="15"/>
  <c r="H69" i="15" s="1"/>
  <c r="E69" i="15" s="1"/>
  <c r="K70" i="15"/>
  <c r="H70" i="15" s="1"/>
  <c r="E70" i="15" s="1"/>
  <c r="K40" i="15"/>
  <c r="K23" i="15"/>
  <c r="M25" i="32"/>
  <c r="M24" i="32"/>
  <c r="M23" i="32"/>
  <c r="M22" i="32"/>
  <c r="M21" i="32"/>
  <c r="O21" i="32" s="1"/>
  <c r="K21" i="32"/>
  <c r="K22" i="32"/>
  <c r="O22" i="32"/>
  <c r="L13" i="15"/>
  <c r="M5" i="32"/>
  <c r="M6" i="32"/>
  <c r="M7" i="32"/>
  <c r="M4" i="32"/>
  <c r="K5" i="32"/>
  <c r="K6" i="32"/>
  <c r="K7" i="32"/>
  <c r="K4" i="32"/>
  <c r="M5" i="15"/>
  <c r="K5" i="15" s="1"/>
  <c r="H5" i="15" s="1"/>
  <c r="E5" i="15" s="1"/>
  <c r="F5" i="15" s="1"/>
  <c r="K86" i="5"/>
  <c r="K85" i="5"/>
  <c r="K84" i="5"/>
  <c r="K83" i="5"/>
  <c r="K78" i="5"/>
  <c r="K57" i="15" l="1"/>
  <c r="H57" i="15" s="1"/>
  <c r="H58" i="15"/>
  <c r="K75" i="5"/>
  <c r="M62" i="31"/>
  <c r="M61" i="31"/>
  <c r="M60" i="31"/>
  <c r="M59" i="31"/>
  <c r="M58" i="31"/>
  <c r="M57" i="31"/>
  <c r="M40" i="31"/>
  <c r="K57" i="5"/>
  <c r="K56" i="5"/>
  <c r="K55" i="5"/>
  <c r="K54" i="5"/>
  <c r="K53" i="5"/>
  <c r="K52" i="5"/>
  <c r="K51" i="5"/>
  <c r="K50" i="5"/>
  <c r="K49" i="5"/>
  <c r="K48" i="5"/>
  <c r="K47" i="5"/>
  <c r="K46" i="5"/>
  <c r="M45" i="31"/>
  <c r="M44" i="31"/>
  <c r="M43" i="31"/>
  <c r="M42" i="31"/>
  <c r="M41" i="31"/>
  <c r="M39" i="31"/>
  <c r="M38" i="31"/>
  <c r="M37" i="31"/>
  <c r="M36" i="31"/>
  <c r="M35" i="31"/>
  <c r="M34" i="31"/>
  <c r="M33" i="31"/>
  <c r="O29" i="31"/>
  <c r="O30" i="31"/>
  <c r="M25" i="31"/>
  <c r="O25" i="31" s="1"/>
  <c r="M26" i="31"/>
  <c r="O26" i="31" s="1"/>
  <c r="M27" i="31"/>
  <c r="O27" i="31" s="1"/>
  <c r="M28" i="31"/>
  <c r="O28" i="31" s="1"/>
  <c r="M29" i="31"/>
  <c r="M30" i="31"/>
  <c r="M24" i="31"/>
  <c r="O24" i="31" s="1"/>
  <c r="K33" i="5"/>
  <c r="K34" i="5"/>
  <c r="K35" i="5"/>
  <c r="K36" i="5"/>
  <c r="K37" i="5"/>
  <c r="K32" i="5"/>
  <c r="K22" i="5"/>
  <c r="K23" i="5"/>
  <c r="K24" i="5"/>
  <c r="K25" i="5"/>
  <c r="K26" i="5"/>
  <c r="K21" i="5"/>
  <c r="P27" i="5"/>
  <c r="O27" i="5"/>
  <c r="E108" i="15" l="1"/>
  <c r="F108" i="15" s="1"/>
  <c r="E107" i="15"/>
  <c r="F107" i="15" s="1"/>
  <c r="E106" i="15"/>
  <c r="F106" i="15" s="1"/>
  <c r="E105" i="15"/>
  <c r="F105" i="15" s="1"/>
  <c r="E104" i="15"/>
  <c r="F104" i="15" s="1"/>
  <c r="E103" i="15"/>
  <c r="F103" i="15" s="1"/>
  <c r="E102" i="15"/>
  <c r="F102" i="15" s="1"/>
  <c r="E101" i="15"/>
  <c r="F101" i="15" s="1"/>
  <c r="E100" i="15"/>
  <c r="F100" i="15" s="1"/>
  <c r="E99" i="15"/>
  <c r="F99" i="15" s="1"/>
  <c r="E98" i="15"/>
  <c r="F98" i="15" s="1"/>
  <c r="E97" i="15"/>
  <c r="F97" i="15" s="1"/>
  <c r="E96" i="15"/>
  <c r="F96" i="15" s="1"/>
  <c r="E95" i="15"/>
  <c r="F95" i="15" s="1"/>
  <c r="E94" i="15"/>
  <c r="F94" i="15" s="1"/>
  <c r="E93" i="15"/>
  <c r="F93" i="15" s="1"/>
  <c r="E92" i="15"/>
  <c r="F92" i="15" s="1"/>
  <c r="E91" i="15"/>
  <c r="F91" i="15" s="1"/>
  <c r="E90" i="15"/>
  <c r="F90" i="15" s="1"/>
  <c r="E89" i="15"/>
  <c r="F89" i="15" s="1"/>
  <c r="E88" i="15"/>
  <c r="F88" i="15" s="1"/>
  <c r="E87" i="15"/>
  <c r="F87" i="15" s="1"/>
  <c r="E86" i="15"/>
  <c r="F86" i="15" s="1"/>
  <c r="E85" i="15"/>
  <c r="F85" i="15" s="1"/>
  <c r="E84" i="15"/>
  <c r="F84" i="15" s="1"/>
  <c r="E83" i="15"/>
  <c r="F83" i="15" s="1"/>
  <c r="E82" i="15"/>
  <c r="F82" i="15" s="1"/>
  <c r="E81" i="15"/>
  <c r="F81" i="15" s="1"/>
  <c r="E80" i="15"/>
  <c r="F80" i="15" s="1"/>
  <c r="E79" i="15"/>
  <c r="F79" i="15" s="1"/>
  <c r="E78" i="15"/>
  <c r="F78" i="15" s="1"/>
  <c r="E77" i="15"/>
  <c r="F77" i="15" s="1"/>
  <c r="E76" i="15"/>
  <c r="F76" i="15" s="1"/>
  <c r="F73" i="15"/>
  <c r="F72" i="15"/>
  <c r="F71" i="15"/>
  <c r="F70" i="15"/>
  <c r="F69" i="15"/>
  <c r="F68" i="15"/>
  <c r="F67" i="15"/>
  <c r="F66" i="15"/>
  <c r="F65" i="15"/>
  <c r="F64" i="15"/>
  <c r="F63" i="15"/>
  <c r="F62" i="15"/>
  <c r="F61" i="15"/>
  <c r="F60" i="15"/>
  <c r="F59" i="15"/>
  <c r="E58" i="15"/>
  <c r="F58" i="15" s="1"/>
  <c r="E57" i="15"/>
  <c r="F57" i="15" s="1"/>
  <c r="H23" i="15" l="1"/>
  <c r="E23" i="15" s="1"/>
  <c r="F23" i="15" s="1"/>
  <c r="K22" i="15"/>
  <c r="H22" i="15" s="1"/>
  <c r="E22" i="15" s="1"/>
  <c r="F22" i="15" s="1"/>
  <c r="K21" i="15"/>
  <c r="H21" i="15" s="1"/>
  <c r="E21" i="15" s="1"/>
  <c r="F21" i="15" s="1"/>
  <c r="K20" i="15"/>
  <c r="H20" i="15" s="1"/>
  <c r="E20" i="15" s="1"/>
  <c r="F20" i="15" s="1"/>
  <c r="K19" i="15"/>
  <c r="H19" i="15" s="1"/>
  <c r="E19" i="15" s="1"/>
  <c r="F19" i="15" s="1"/>
  <c r="H15" i="15"/>
  <c r="E15" i="15" s="1"/>
  <c r="F15" i="15" s="1"/>
  <c r="H14" i="15"/>
  <c r="E14" i="15" s="1"/>
  <c r="F14" i="15" s="1"/>
  <c r="K46" i="15"/>
  <c r="K47" i="15"/>
  <c r="K48" i="15"/>
  <c r="K49" i="15"/>
  <c r="K50" i="15"/>
  <c r="K51" i="15"/>
  <c r="K52" i="15"/>
  <c r="H54" i="15" l="1"/>
  <c r="E54" i="15" s="1"/>
  <c r="F54" i="15" s="1"/>
  <c r="H53" i="15"/>
  <c r="E53" i="15" s="1"/>
  <c r="F53" i="15" s="1"/>
  <c r="H52" i="15"/>
  <c r="E52" i="15" s="1"/>
  <c r="F52" i="15" s="1"/>
  <c r="H51" i="15"/>
  <c r="E51" i="15" s="1"/>
  <c r="F51" i="15" s="1"/>
  <c r="H50" i="15"/>
  <c r="E50" i="15" s="1"/>
  <c r="F50" i="15" s="1"/>
  <c r="H49" i="15"/>
  <c r="E49" i="15" s="1"/>
  <c r="F49" i="15" s="1"/>
  <c r="H48" i="15"/>
  <c r="E48" i="15" s="1"/>
  <c r="F48" i="15" s="1"/>
  <c r="H46" i="15"/>
  <c r="E46" i="15" s="1"/>
  <c r="F46" i="15" s="1"/>
  <c r="H47" i="15"/>
  <c r="E47" i="15" s="1"/>
  <c r="F47" i="15" s="1"/>
  <c r="K45" i="15"/>
  <c r="H45" i="15" s="1"/>
  <c r="E45" i="15" s="1"/>
  <c r="F45" i="15" s="1"/>
  <c r="K111" i="15" l="1"/>
  <c r="H111" i="15" s="1"/>
  <c r="E111" i="15" s="1"/>
  <c r="F111" i="15" s="1"/>
  <c r="K21" i="6"/>
  <c r="H21" i="6" s="1"/>
  <c r="E21" i="6" s="1"/>
  <c r="F21" i="6" s="1"/>
  <c r="K12" i="33" l="1"/>
  <c r="K9" i="33"/>
  <c r="K6" i="33"/>
  <c r="K5" i="33"/>
  <c r="O12" i="33"/>
  <c r="O9" i="33"/>
  <c r="O6" i="33"/>
  <c r="O5" i="33"/>
  <c r="K4" i="33"/>
  <c r="O4" i="33"/>
  <c r="K117" i="32"/>
  <c r="K116" i="32"/>
  <c r="K115" i="32"/>
  <c r="K114" i="32"/>
  <c r="K113" i="32"/>
  <c r="K112" i="32"/>
  <c r="K111" i="32"/>
  <c r="K110" i="32"/>
  <c r="K109" i="32"/>
  <c r="K108" i="32"/>
  <c r="K107" i="32"/>
  <c r="K106" i="32"/>
  <c r="K105" i="32"/>
  <c r="K104" i="32"/>
  <c r="K103" i="32"/>
  <c r="K102" i="32"/>
  <c r="K101" i="32"/>
  <c r="K98" i="32"/>
  <c r="K97" i="32"/>
  <c r="K96" i="32"/>
  <c r="K95" i="32"/>
  <c r="K94" i="32"/>
  <c r="K93" i="32"/>
  <c r="K92" i="32"/>
  <c r="K91" i="32"/>
  <c r="K90" i="32"/>
  <c r="K87" i="32"/>
  <c r="K86" i="32"/>
  <c r="K85" i="32"/>
  <c r="K84" i="32"/>
  <c r="K83" i="32"/>
  <c r="K82" i="32"/>
  <c r="K81" i="32"/>
  <c r="K80" i="32"/>
  <c r="K79" i="32"/>
  <c r="K78" i="32"/>
  <c r="K77" i="32"/>
  <c r="K76" i="32"/>
  <c r="K73" i="32"/>
  <c r="K72" i="32"/>
  <c r="K71" i="32"/>
  <c r="K70" i="32"/>
  <c r="K69" i="32"/>
  <c r="K68" i="32"/>
  <c r="K67" i="32"/>
  <c r="K66" i="32"/>
  <c r="K65" i="32"/>
  <c r="K64" i="32"/>
  <c r="K63" i="32"/>
  <c r="K62" i="32"/>
  <c r="K61" i="32"/>
  <c r="K60" i="32"/>
  <c r="K57" i="32"/>
  <c r="K56" i="32"/>
  <c r="K55" i="32"/>
  <c r="K52" i="32"/>
  <c r="K51" i="32"/>
  <c r="K50" i="32"/>
  <c r="K49" i="32"/>
  <c r="K48" i="32"/>
  <c r="K47" i="32"/>
  <c r="K46" i="32"/>
  <c r="K45" i="32"/>
  <c r="K44" i="32"/>
  <c r="K43" i="32"/>
  <c r="K42" i="32"/>
  <c r="K41" i="32"/>
  <c r="K40" i="32"/>
  <c r="K39" i="32"/>
  <c r="K25" i="32"/>
  <c r="K24" i="32"/>
  <c r="K23" i="32"/>
  <c r="K36" i="32"/>
  <c r="K35" i="32"/>
  <c r="K34" i="32"/>
  <c r="K33" i="32"/>
  <c r="K32" i="32"/>
  <c r="K31" i="32"/>
  <c r="K30" i="32"/>
  <c r="K29" i="32"/>
  <c r="K28" i="32"/>
  <c r="K18" i="32"/>
  <c r="K17" i="32"/>
  <c r="K16" i="32"/>
  <c r="K15" i="32"/>
  <c r="K14" i="32"/>
  <c r="K13" i="32"/>
  <c r="K12" i="32"/>
  <c r="K11" i="32"/>
  <c r="K10" i="32"/>
  <c r="O117" i="32"/>
  <c r="O116" i="32"/>
  <c r="O115" i="32"/>
  <c r="O114" i="32"/>
  <c r="O113" i="32"/>
  <c r="O112" i="32"/>
  <c r="O111" i="32"/>
  <c r="O110" i="32"/>
  <c r="O109" i="32"/>
  <c r="O108" i="32"/>
  <c r="O107" i="32"/>
  <c r="O106" i="32"/>
  <c r="O105" i="32"/>
  <c r="O104" i="32"/>
  <c r="O103" i="32"/>
  <c r="O102" i="32"/>
  <c r="O101" i="32"/>
  <c r="O98" i="32"/>
  <c r="O97" i="32"/>
  <c r="O96" i="32"/>
  <c r="O95" i="32"/>
  <c r="O94" i="32"/>
  <c r="O93" i="32"/>
  <c r="O92" i="32"/>
  <c r="O91" i="32"/>
  <c r="O90" i="32"/>
  <c r="O87" i="32"/>
  <c r="O86" i="32"/>
  <c r="O85" i="32"/>
  <c r="O84" i="32"/>
  <c r="O83" i="32"/>
  <c r="O82" i="32"/>
  <c r="O81" i="32"/>
  <c r="O80" i="32"/>
  <c r="O79" i="32"/>
  <c r="O78" i="32"/>
  <c r="O77" i="32"/>
  <c r="O76" i="32"/>
  <c r="O73" i="32"/>
  <c r="O72" i="32"/>
  <c r="O71" i="32"/>
  <c r="O70" i="32"/>
  <c r="O69" i="32"/>
  <c r="O68" i="32"/>
  <c r="O67" i="32"/>
  <c r="O66" i="32"/>
  <c r="O65" i="32"/>
  <c r="O64" i="32"/>
  <c r="O63" i="32"/>
  <c r="O62" i="32"/>
  <c r="O61" i="32"/>
  <c r="O60" i="32"/>
  <c r="O57" i="32"/>
  <c r="O56" i="32"/>
  <c r="O55" i="32"/>
  <c r="O52" i="32"/>
  <c r="O51" i="32"/>
  <c r="O50" i="32"/>
  <c r="O49" i="32"/>
  <c r="O48" i="32"/>
  <c r="O47" i="32"/>
  <c r="O46" i="32"/>
  <c r="O45" i="32"/>
  <c r="O44" i="32"/>
  <c r="O43" i="32"/>
  <c r="O42" i="32"/>
  <c r="O41" i="32"/>
  <c r="O40" i="32"/>
  <c r="O39" i="32"/>
  <c r="O25" i="32"/>
  <c r="O24" i="32"/>
  <c r="O23" i="32"/>
  <c r="O36" i="32"/>
  <c r="O35" i="32"/>
  <c r="O34" i="32"/>
  <c r="O33" i="32"/>
  <c r="O32" i="32"/>
  <c r="O31" i="32"/>
  <c r="O30" i="32"/>
  <c r="O29" i="32"/>
  <c r="O28" i="32"/>
  <c r="O18" i="32"/>
  <c r="O17" i="32"/>
  <c r="O16" i="32"/>
  <c r="O15" i="32"/>
  <c r="O14" i="32"/>
  <c r="O13" i="32"/>
  <c r="O12" i="32"/>
  <c r="O11" i="32"/>
  <c r="O10" i="32"/>
  <c r="O7" i="32"/>
  <c r="O6" i="32"/>
  <c r="O5" i="32"/>
  <c r="O4" i="32"/>
  <c r="K62" i="31"/>
  <c r="K61" i="31"/>
  <c r="K60" i="31"/>
  <c r="K59" i="31"/>
  <c r="K58" i="31"/>
  <c r="K57" i="31"/>
  <c r="K52" i="31"/>
  <c r="K51" i="31"/>
  <c r="K50" i="31"/>
  <c r="K49" i="31"/>
  <c r="K46" i="31"/>
  <c r="K45" i="31"/>
  <c r="K44" i="31"/>
  <c r="K43" i="31"/>
  <c r="K42" i="31"/>
  <c r="K41" i="31"/>
  <c r="K40" i="31"/>
  <c r="K39" i="31"/>
  <c r="K38" i="31"/>
  <c r="K37" i="31"/>
  <c r="K36" i="31"/>
  <c r="K35" i="31"/>
  <c r="K34" i="31"/>
  <c r="K33" i="31"/>
  <c r="K30" i="31"/>
  <c r="Q30" i="31" s="1"/>
  <c r="K29" i="31"/>
  <c r="K28" i="31"/>
  <c r="Q28" i="31" s="1"/>
  <c r="K27" i="31"/>
  <c r="Q27" i="31" s="1"/>
  <c r="K26" i="31"/>
  <c r="Q26" i="31" s="1"/>
  <c r="K25" i="31"/>
  <c r="K24" i="31"/>
  <c r="K20" i="31"/>
  <c r="K19" i="31"/>
  <c r="K18" i="31"/>
  <c r="K17" i="31"/>
  <c r="K16" i="31"/>
  <c r="K15" i="31"/>
  <c r="K14" i="31"/>
  <c r="K11" i="31"/>
  <c r="K10" i="31"/>
  <c r="K9" i="31"/>
  <c r="K8" i="31"/>
  <c r="K7" i="31"/>
  <c r="K6" i="31"/>
  <c r="K5" i="31"/>
  <c r="K4" i="31"/>
  <c r="O62" i="31"/>
  <c r="O61" i="31"/>
  <c r="O60" i="31"/>
  <c r="O59" i="31"/>
  <c r="O58" i="31"/>
  <c r="O57" i="31"/>
  <c r="O52" i="31"/>
  <c r="O51" i="31"/>
  <c r="O50" i="31"/>
  <c r="O49" i="31"/>
  <c r="O46" i="31"/>
  <c r="O45" i="31"/>
  <c r="O44" i="31"/>
  <c r="O43" i="31"/>
  <c r="O42" i="31"/>
  <c r="O41" i="31"/>
  <c r="O40" i="31"/>
  <c r="O39" i="31"/>
  <c r="O38" i="31"/>
  <c r="O37" i="31"/>
  <c r="O36" i="31"/>
  <c r="O35" i="31"/>
  <c r="O34" i="31"/>
  <c r="O33" i="31"/>
  <c r="O20" i="31"/>
  <c r="O19" i="31"/>
  <c r="O18" i="31"/>
  <c r="O17" i="31"/>
  <c r="O16" i="31"/>
  <c r="O15" i="31"/>
  <c r="O14" i="31"/>
  <c r="O11" i="31"/>
  <c r="O10" i="31"/>
  <c r="O9" i="31"/>
  <c r="O8" i="31"/>
  <c r="O7" i="31"/>
  <c r="O6" i="31"/>
  <c r="O5" i="31"/>
  <c r="O4" i="31"/>
  <c r="H41" i="15"/>
  <c r="E41" i="15" s="1"/>
  <c r="F41" i="15" s="1"/>
  <c r="H40" i="15"/>
  <c r="E40" i="15" s="1"/>
  <c r="F40" i="15" s="1"/>
  <c r="K39" i="15"/>
  <c r="H39" i="15" s="1"/>
  <c r="E39" i="15" s="1"/>
  <c r="F39" i="15" s="1"/>
  <c r="K38" i="15"/>
  <c r="H38" i="15" s="1"/>
  <c r="E38" i="15" s="1"/>
  <c r="F38" i="15" s="1"/>
  <c r="K37" i="15"/>
  <c r="H37" i="15" s="1"/>
  <c r="E37" i="15" s="1"/>
  <c r="F37" i="15" s="1"/>
  <c r="K36" i="15"/>
  <c r="H36" i="15" s="1"/>
  <c r="E36" i="15" s="1"/>
  <c r="F36" i="15" s="1"/>
  <c r="K35" i="15"/>
  <c r="H35" i="15" s="1"/>
  <c r="E35" i="15" s="1"/>
  <c r="F35" i="15" s="1"/>
  <c r="K34" i="15"/>
  <c r="H34" i="15" s="1"/>
  <c r="E34" i="15" s="1"/>
  <c r="F34" i="15" s="1"/>
  <c r="K33" i="15"/>
  <c r="H33" i="15" s="1"/>
  <c r="E33" i="15" s="1"/>
  <c r="F33" i="15" s="1"/>
  <c r="K32" i="15"/>
  <c r="H32" i="15" s="1"/>
  <c r="E32" i="15" s="1"/>
  <c r="F32" i="15" s="1"/>
  <c r="K31" i="15"/>
  <c r="H31" i="15" s="1"/>
  <c r="E31" i="15" s="1"/>
  <c r="F31" i="15" s="1"/>
  <c r="K30" i="15"/>
  <c r="H30" i="15" s="1"/>
  <c r="E30" i="15" s="1"/>
  <c r="F30" i="15" s="1"/>
  <c r="K29" i="15"/>
  <c r="H29" i="15" s="1"/>
  <c r="E29" i="15" s="1"/>
  <c r="F29" i="15" s="1"/>
  <c r="K28" i="15"/>
  <c r="H28" i="15" s="1"/>
  <c r="E28" i="15" s="1"/>
  <c r="F28" i="15" s="1"/>
  <c r="K13" i="15"/>
  <c r="H13" i="15" s="1"/>
  <c r="E13" i="15" s="1"/>
  <c r="F13" i="15" s="1"/>
  <c r="H86" i="5"/>
  <c r="H85" i="5"/>
  <c r="H84" i="5"/>
  <c r="H83" i="5"/>
  <c r="H82" i="5"/>
  <c r="H81" i="5"/>
  <c r="H80" i="5"/>
  <c r="H79" i="5"/>
  <c r="H77" i="5"/>
  <c r="E77" i="5" s="1"/>
  <c r="K76" i="5"/>
  <c r="H76" i="5" s="1"/>
  <c r="H75" i="5"/>
  <c r="K72" i="5"/>
  <c r="H72" i="5" s="1"/>
  <c r="K69" i="5"/>
  <c r="H69" i="5" s="1"/>
  <c r="K68" i="5"/>
  <c r="H68" i="5" s="1"/>
  <c r="K65" i="5"/>
  <c r="H65" i="5" s="1"/>
  <c r="K60" i="5"/>
  <c r="H60" i="5" s="1"/>
  <c r="H37" i="5"/>
  <c r="H36" i="5"/>
  <c r="H35" i="5"/>
  <c r="H34" i="5"/>
  <c r="H33" i="5"/>
  <c r="H32" i="5"/>
  <c r="K27" i="5"/>
  <c r="H27" i="5" s="1"/>
  <c r="H26" i="5"/>
  <c r="H25" i="5"/>
  <c r="H24" i="5"/>
  <c r="H23" i="5"/>
  <c r="H22" i="5"/>
  <c r="H21" i="5"/>
  <c r="K15" i="5"/>
  <c r="H15" i="5" s="1"/>
  <c r="K14" i="5"/>
  <c r="H14" i="5" s="1"/>
  <c r="K13" i="5"/>
  <c r="H13" i="5" s="1"/>
  <c r="K12" i="5"/>
  <c r="H12" i="5" s="1"/>
  <c r="K11" i="5"/>
  <c r="H11" i="5" s="1"/>
  <c r="K10" i="5"/>
  <c r="H10" i="5" s="1"/>
  <c r="K9" i="5"/>
  <c r="H9" i="5" s="1"/>
  <c r="K8" i="5"/>
  <c r="H8" i="5" s="1"/>
  <c r="Q57" i="32" l="1"/>
  <c r="R57" i="32" s="1"/>
  <c r="Q86" i="32"/>
  <c r="R86" i="32" s="1"/>
  <c r="Q102" i="32"/>
  <c r="R102" i="32" s="1"/>
  <c r="Q114" i="32"/>
  <c r="R114" i="32" s="1"/>
  <c r="Q9" i="33"/>
  <c r="R9" i="33" s="1"/>
  <c r="Q5" i="33"/>
  <c r="R5" i="33" s="1"/>
  <c r="Q113" i="32"/>
  <c r="R113" i="32" s="1"/>
  <c r="Q103" i="32"/>
  <c r="R103" i="32" s="1"/>
  <c r="Q6" i="33"/>
  <c r="R6" i="33" s="1"/>
  <c r="Q4" i="33"/>
  <c r="R4" i="33" s="1"/>
  <c r="Q12" i="33"/>
  <c r="R12" i="33" s="1"/>
  <c r="Q35" i="31"/>
  <c r="L48" i="5" s="1"/>
  <c r="H48" i="5" s="1"/>
  <c r="Q90" i="32"/>
  <c r="R90" i="32" s="1"/>
  <c r="Q116" i="32"/>
  <c r="R116" i="32" s="1"/>
  <c r="Q4" i="31"/>
  <c r="R4" i="31" s="1"/>
  <c r="Q63" i="32"/>
  <c r="R63" i="32" s="1"/>
  <c r="Q77" i="32"/>
  <c r="R77" i="32" s="1"/>
  <c r="Q91" i="32"/>
  <c r="R91" i="32" s="1"/>
  <c r="Q5" i="31"/>
  <c r="R5" i="31" s="1"/>
  <c r="Q57" i="31"/>
  <c r="L77" i="5" s="1"/>
  <c r="Q39" i="31"/>
  <c r="R39" i="31" s="1"/>
  <c r="Q40" i="31"/>
  <c r="R40" i="31" s="1"/>
  <c r="Q7" i="31"/>
  <c r="R7" i="31" s="1"/>
  <c r="Q41" i="31"/>
  <c r="R41" i="31" s="1"/>
  <c r="Q8" i="31"/>
  <c r="R8" i="31" s="1"/>
  <c r="Q43" i="31"/>
  <c r="L55" i="5" s="1"/>
  <c r="Q62" i="31"/>
  <c r="R62" i="31" s="1"/>
  <c r="Q6" i="31"/>
  <c r="R6" i="31" s="1"/>
  <c r="E65" i="5"/>
  <c r="F65" i="5" s="1"/>
  <c r="E27" i="5"/>
  <c r="F27" i="5" s="1"/>
  <c r="E72" i="5"/>
  <c r="F72" i="5" s="1"/>
  <c r="E15" i="5"/>
  <c r="F15" i="5" s="1"/>
  <c r="E21" i="5"/>
  <c r="F21" i="5" s="1"/>
  <c r="E60" i="5"/>
  <c r="F60" i="5" s="1"/>
  <c r="E84" i="5"/>
  <c r="F84" i="5" s="1"/>
  <c r="E85" i="5"/>
  <c r="F85" i="5" s="1"/>
  <c r="E11" i="5"/>
  <c r="F11" i="5" s="1"/>
  <c r="E32" i="5"/>
  <c r="F32" i="5" s="1"/>
  <c r="E75" i="5"/>
  <c r="F75" i="5" s="1"/>
  <c r="E79" i="5"/>
  <c r="F79" i="5" s="1"/>
  <c r="E37" i="5"/>
  <c r="F37" i="5" s="1"/>
  <c r="E22" i="5"/>
  <c r="F22" i="5" s="1"/>
  <c r="E83" i="5"/>
  <c r="F83" i="5" s="1"/>
  <c r="E8" i="5"/>
  <c r="F8" i="5" s="1"/>
  <c r="E10" i="5"/>
  <c r="F10" i="5" s="1"/>
  <c r="E12" i="5"/>
  <c r="F12" i="5" s="1"/>
  <c r="E33" i="5"/>
  <c r="F33" i="5" s="1"/>
  <c r="E76" i="5"/>
  <c r="F76" i="5" s="1"/>
  <c r="E13" i="5"/>
  <c r="F13" i="5" s="1"/>
  <c r="E80" i="5"/>
  <c r="F80" i="5" s="1"/>
  <c r="Q45" i="31"/>
  <c r="R45" i="31" s="1"/>
  <c r="E35" i="5"/>
  <c r="F35" i="5" s="1"/>
  <c r="R30" i="31"/>
  <c r="L41" i="5"/>
  <c r="K41" i="5" s="1"/>
  <c r="H41" i="5" s="1"/>
  <c r="E34" i="5"/>
  <c r="F34" i="5" s="1"/>
  <c r="E81" i="5"/>
  <c r="F81" i="5" s="1"/>
  <c r="E68" i="5"/>
  <c r="F68" i="5" s="1"/>
  <c r="E14" i="5"/>
  <c r="F14" i="5" s="1"/>
  <c r="E36" i="5"/>
  <c r="F36" i="5" s="1"/>
  <c r="E82" i="5"/>
  <c r="F82" i="5" s="1"/>
  <c r="E23" i="5"/>
  <c r="F23" i="5" s="1"/>
  <c r="E24" i="5"/>
  <c r="F24" i="5" s="1"/>
  <c r="E25" i="5"/>
  <c r="F25" i="5" s="1"/>
  <c r="E9" i="5"/>
  <c r="F9" i="5" s="1"/>
  <c r="E26" i="5"/>
  <c r="F26" i="5" s="1"/>
  <c r="E69" i="5"/>
  <c r="F69" i="5" s="1"/>
  <c r="E86" i="5"/>
  <c r="F86" i="5" s="1"/>
  <c r="Q18" i="32"/>
  <c r="R18" i="32" s="1"/>
  <c r="Q28" i="32"/>
  <c r="R28" i="32" s="1"/>
  <c r="Q52" i="32"/>
  <c r="R52" i="32" s="1"/>
  <c r="Q4" i="32"/>
  <c r="F77" i="5"/>
  <c r="Q9" i="31"/>
  <c r="R9" i="31" s="1"/>
  <c r="Q11" i="31"/>
  <c r="R11" i="31" s="1"/>
  <c r="Q10" i="31"/>
  <c r="R10" i="31" s="1"/>
  <c r="Q60" i="31"/>
  <c r="L80" i="5" s="1"/>
  <c r="Q61" i="31"/>
  <c r="L81" i="5" s="1"/>
  <c r="Q58" i="31"/>
  <c r="L78" i="5" s="1"/>
  <c r="H78" i="5" s="1"/>
  <c r="Q59" i="31"/>
  <c r="Q46" i="31"/>
  <c r="R46" i="31" s="1"/>
  <c r="Q34" i="31"/>
  <c r="R34" i="31" s="1"/>
  <c r="Q33" i="31"/>
  <c r="L46" i="5" s="1"/>
  <c r="H46" i="5" s="1"/>
  <c r="Q44" i="31"/>
  <c r="L57" i="5" s="1"/>
  <c r="H57" i="5" s="1"/>
  <c r="R42" i="31"/>
  <c r="H55" i="5"/>
  <c r="H54" i="5"/>
  <c r="Q36" i="31"/>
  <c r="Q37" i="31"/>
  <c r="Q38" i="31"/>
  <c r="R27" i="31"/>
  <c r="L35" i="5"/>
  <c r="R26" i="31"/>
  <c r="L34" i="5"/>
  <c r="R28" i="31"/>
  <c r="L36" i="5"/>
  <c r="Q29" i="31"/>
  <c r="Q25" i="31"/>
  <c r="Q24" i="31"/>
  <c r="Q41" i="32"/>
  <c r="R41" i="32" s="1"/>
  <c r="Q64" i="32"/>
  <c r="R64" i="32" s="1"/>
  <c r="Q78" i="32"/>
  <c r="R78" i="32" s="1"/>
  <c r="Q36" i="32"/>
  <c r="R36" i="32" s="1"/>
  <c r="Q30" i="32"/>
  <c r="R30" i="32" s="1"/>
  <c r="Q65" i="32"/>
  <c r="R65" i="32" s="1"/>
  <c r="Q50" i="32"/>
  <c r="R50" i="32" s="1"/>
  <c r="Q32" i="32"/>
  <c r="R32" i="32" s="1"/>
  <c r="Q110" i="32"/>
  <c r="R110" i="32" s="1"/>
  <c r="Q62" i="32"/>
  <c r="R62" i="32" s="1"/>
  <c r="Q101" i="32"/>
  <c r="R101" i="32" s="1"/>
  <c r="Q79" i="32"/>
  <c r="R79" i="32" s="1"/>
  <c r="Q55" i="32"/>
  <c r="R55" i="32" s="1"/>
  <c r="Q98" i="32"/>
  <c r="R98" i="32" s="1"/>
  <c r="Q35" i="32"/>
  <c r="R35" i="32" s="1"/>
  <c r="Q66" i="32"/>
  <c r="R66" i="32" s="1"/>
  <c r="Q117" i="32"/>
  <c r="R117" i="32" s="1"/>
  <c r="Q16" i="32"/>
  <c r="R16" i="32" s="1"/>
  <c r="Q80" i="32"/>
  <c r="R80" i="32" s="1"/>
  <c r="Q93" i="32"/>
  <c r="R93" i="32" s="1"/>
  <c r="Q7" i="32"/>
  <c r="Q42" i="32"/>
  <c r="R42" i="32" s="1"/>
  <c r="Q17" i="32"/>
  <c r="R17" i="32" s="1"/>
  <c r="Q39" i="32"/>
  <c r="R39" i="32" s="1"/>
  <c r="Q95" i="32"/>
  <c r="R95" i="32" s="1"/>
  <c r="Q43" i="32"/>
  <c r="R43" i="32" s="1"/>
  <c r="Q67" i="32"/>
  <c r="R67" i="32" s="1"/>
  <c r="Q13" i="32"/>
  <c r="R13" i="32" s="1"/>
  <c r="Q47" i="32"/>
  <c r="R47" i="32" s="1"/>
  <c r="Q71" i="32"/>
  <c r="R71" i="32" s="1"/>
  <c r="Q83" i="32"/>
  <c r="R83" i="32" s="1"/>
  <c r="Q107" i="32"/>
  <c r="R107" i="32" s="1"/>
  <c r="Q51" i="32"/>
  <c r="R51" i="32" s="1"/>
  <c r="Q87" i="32"/>
  <c r="R87" i="32" s="1"/>
  <c r="Q111" i="32"/>
  <c r="R111" i="32" s="1"/>
  <c r="Q40" i="32"/>
  <c r="R40" i="32" s="1"/>
  <c r="Q76" i="32"/>
  <c r="R76" i="32" s="1"/>
  <c r="Q112" i="32"/>
  <c r="R112" i="32" s="1"/>
  <c r="Q115" i="32"/>
  <c r="R115" i="32" s="1"/>
  <c r="Q10" i="32"/>
  <c r="R10" i="32" s="1"/>
  <c r="Q29" i="32"/>
  <c r="R29" i="32" s="1"/>
  <c r="Q44" i="32"/>
  <c r="R44" i="32" s="1"/>
  <c r="Q56" i="32"/>
  <c r="R56" i="32" s="1"/>
  <c r="Q68" i="32"/>
  <c r="R68" i="32" s="1"/>
  <c r="Q92" i="32"/>
  <c r="R92" i="32" s="1"/>
  <c r="Q104" i="32"/>
  <c r="R104" i="32" s="1"/>
  <c r="Q11" i="32"/>
  <c r="R11" i="32" s="1"/>
  <c r="Q45" i="32"/>
  <c r="R45" i="32" s="1"/>
  <c r="Q69" i="32"/>
  <c r="R69" i="32" s="1"/>
  <c r="Q81" i="32"/>
  <c r="R81" i="32" s="1"/>
  <c r="Q105" i="32"/>
  <c r="R105" i="32" s="1"/>
  <c r="Q46" i="32"/>
  <c r="R46" i="32" s="1"/>
  <c r="Q94" i="32"/>
  <c r="R94" i="32" s="1"/>
  <c r="Q5" i="32"/>
  <c r="Q14" i="32"/>
  <c r="R14" i="32" s="1"/>
  <c r="Q33" i="32"/>
  <c r="R33" i="32" s="1"/>
  <c r="Q48" i="32"/>
  <c r="R48" i="32" s="1"/>
  <c r="Q60" i="32"/>
  <c r="R60" i="32" s="1"/>
  <c r="Q72" i="32"/>
  <c r="R72" i="32" s="1"/>
  <c r="Q84" i="32"/>
  <c r="R84" i="32" s="1"/>
  <c r="Q96" i="32"/>
  <c r="R96" i="32" s="1"/>
  <c r="Q108" i="32"/>
  <c r="R108" i="32" s="1"/>
  <c r="Q6" i="32"/>
  <c r="Q15" i="32"/>
  <c r="R15" i="32" s="1"/>
  <c r="Q34" i="32"/>
  <c r="R34" i="32" s="1"/>
  <c r="Q49" i="32"/>
  <c r="R49" i="32" s="1"/>
  <c r="Q61" i="32"/>
  <c r="R61" i="32" s="1"/>
  <c r="Q73" i="32"/>
  <c r="R73" i="32" s="1"/>
  <c r="Q85" i="32"/>
  <c r="R85" i="32" s="1"/>
  <c r="Q97" i="32"/>
  <c r="R97" i="32" s="1"/>
  <c r="Q109" i="32"/>
  <c r="R109" i="32" s="1"/>
  <c r="Q31" i="32"/>
  <c r="R31" i="32" s="1"/>
  <c r="Q12" i="32"/>
  <c r="R12" i="32" s="1"/>
  <c r="Q106" i="32"/>
  <c r="R106" i="32" s="1"/>
  <c r="Q82" i="32"/>
  <c r="R82" i="32" s="1"/>
  <c r="Q70" i="32"/>
  <c r="R70" i="32" s="1"/>
  <c r="F28" i="6"/>
  <c r="R57" i="31" l="1"/>
  <c r="R35" i="31"/>
  <c r="R14" i="33"/>
  <c r="R58" i="31"/>
  <c r="L52" i="5"/>
  <c r="H52" i="5" s="1"/>
  <c r="E52" i="5" s="1"/>
  <c r="F52" i="5" s="1"/>
  <c r="R44" i="31"/>
  <c r="L53" i="5"/>
  <c r="L56" i="5"/>
  <c r="H56" i="5" s="1"/>
  <c r="E56" i="5" s="1"/>
  <c r="F56" i="5" s="1"/>
  <c r="L82" i="5"/>
  <c r="R43" i="31"/>
  <c r="R61" i="31"/>
  <c r="L47" i="5"/>
  <c r="H47" i="5" s="1"/>
  <c r="E47" i="5" s="1"/>
  <c r="F47" i="5" s="1"/>
  <c r="E78" i="5"/>
  <c r="F78" i="5" s="1"/>
  <c r="E57" i="5"/>
  <c r="F57" i="5" s="1"/>
  <c r="E55" i="5"/>
  <c r="F55" i="5" s="1"/>
  <c r="E48" i="5"/>
  <c r="F48" i="5" s="1"/>
  <c r="E54" i="5"/>
  <c r="F54" i="5" s="1"/>
  <c r="E46" i="5"/>
  <c r="F46" i="5" s="1"/>
  <c r="E41" i="5"/>
  <c r="F41" i="5" s="1"/>
  <c r="R5" i="32"/>
  <c r="L10" i="15"/>
  <c r="K10" i="15" s="1"/>
  <c r="H10" i="15" s="1"/>
  <c r="E10" i="15" s="1"/>
  <c r="F10" i="15" s="1"/>
  <c r="R6" i="32"/>
  <c r="L11" i="15"/>
  <c r="K11" i="15" s="1"/>
  <c r="H11" i="15" s="1"/>
  <c r="E11" i="15" s="1"/>
  <c r="F11" i="15" s="1"/>
  <c r="R7" i="32"/>
  <c r="L12" i="15"/>
  <c r="K12" i="15" s="1"/>
  <c r="H12" i="15" s="1"/>
  <c r="E12" i="15" s="1"/>
  <c r="F12" i="15" s="1"/>
  <c r="R4" i="32"/>
  <c r="L9" i="15"/>
  <c r="K9" i="15" s="1"/>
  <c r="H9" i="15" s="1"/>
  <c r="E9" i="15" s="1"/>
  <c r="F9" i="15" s="1"/>
  <c r="R60" i="31"/>
  <c r="R59" i="31"/>
  <c r="L79" i="5"/>
  <c r="H53" i="5"/>
  <c r="R33" i="31"/>
  <c r="R38" i="31"/>
  <c r="L51" i="5"/>
  <c r="H51" i="5" s="1"/>
  <c r="R37" i="31"/>
  <c r="L50" i="5"/>
  <c r="H50" i="5" s="1"/>
  <c r="R36" i="31"/>
  <c r="L49" i="5"/>
  <c r="H49" i="5" s="1"/>
  <c r="R29" i="31"/>
  <c r="L37" i="5"/>
  <c r="R25" i="31"/>
  <c r="L33" i="5"/>
  <c r="R24" i="31"/>
  <c r="L32" i="5"/>
  <c r="R119" i="32" l="1"/>
  <c r="E51" i="5"/>
  <c r="F51" i="5" s="1"/>
  <c r="E49" i="5"/>
  <c r="F49" i="5" s="1"/>
  <c r="E53" i="5"/>
  <c r="F53" i="5" s="1"/>
  <c r="E50" i="5"/>
  <c r="F50" i="5" s="1"/>
  <c r="L45" i="5"/>
  <c r="K45" i="5" s="1"/>
  <c r="H45" i="5" s="1"/>
  <c r="L31" i="5"/>
  <c r="K31" i="5" s="1"/>
  <c r="H31" i="5" s="1"/>
  <c r="R68" i="31"/>
  <c r="E31" i="5" l="1"/>
  <c r="F31" i="5" s="1"/>
  <c r="E45" i="5"/>
  <c r="F45" i="5" s="1"/>
  <c r="F88" i="5" l="1"/>
  <c r="C11" i="29" s="1"/>
  <c r="E19" i="29" s="1"/>
  <c r="C19" i="29" l="1"/>
</calcChain>
</file>

<file path=xl/sharedStrings.xml><?xml version="1.0" encoding="utf-8"?>
<sst xmlns="http://schemas.openxmlformats.org/spreadsheetml/2006/main" count="2457" uniqueCount="1066">
  <si>
    <t>Unit</t>
  </si>
  <si>
    <t>Rate</t>
  </si>
  <si>
    <t>Lm</t>
  </si>
  <si>
    <t>Ls</t>
  </si>
  <si>
    <t>Item No.</t>
  </si>
  <si>
    <t>Description</t>
  </si>
  <si>
    <t>Unit Rate</t>
  </si>
  <si>
    <t>LM</t>
  </si>
  <si>
    <t>No</t>
  </si>
  <si>
    <t>No.</t>
  </si>
  <si>
    <t>Lot</t>
  </si>
  <si>
    <t>BMS SYSTEM</t>
  </si>
  <si>
    <t>15.22-1</t>
  </si>
  <si>
    <t>ELECTRICAL</t>
  </si>
  <si>
    <t>POWER AND LIGHTING</t>
  </si>
  <si>
    <t>DB-N4A-1F</t>
  </si>
  <si>
    <t>16.1-2</t>
  </si>
  <si>
    <t>DB-N4B-1F</t>
  </si>
  <si>
    <t>16.1-3</t>
  </si>
  <si>
    <t>DB-LN4-1F</t>
  </si>
  <si>
    <t>16.1-4</t>
  </si>
  <si>
    <t>DB-LE4-1F</t>
  </si>
  <si>
    <t>16.1-5</t>
  </si>
  <si>
    <t>DB-E4-1F</t>
  </si>
  <si>
    <t>16.1-6</t>
  </si>
  <si>
    <t>DB-U3-1F</t>
  </si>
  <si>
    <t>16.1-7</t>
  </si>
  <si>
    <t>DB-LU2-1F</t>
  </si>
  <si>
    <t>16.1-8</t>
  </si>
  <si>
    <t>LCP4-1F ( KNX )</t>
  </si>
  <si>
    <t>POWER &amp; CONTROL CABLES :</t>
  </si>
  <si>
    <t>16.8-1</t>
  </si>
  <si>
    <t>(4C-10 MM2 CU/XLPE/PVC)</t>
  </si>
  <si>
    <t>16.8-2</t>
  </si>
  <si>
    <t>(4C-35 MM2 CU/XLPE/PVC)</t>
  </si>
  <si>
    <t>16.8-3</t>
  </si>
  <si>
    <t>(4C-50 MM2 CU/XLPE/PVC)</t>
  </si>
  <si>
    <t>16.8-4</t>
  </si>
  <si>
    <t>(1C-10MM2 Y/G)</t>
  </si>
  <si>
    <t>16.8-5</t>
  </si>
  <si>
    <t>(1C-16MM2 Y/G)</t>
  </si>
  <si>
    <t>16.8-6</t>
  </si>
  <si>
    <t>(1C-25MM2 Y/G)</t>
  </si>
  <si>
    <t>16.8-7</t>
  </si>
  <si>
    <t>Cable Lugs, Gland &amp; Terminations</t>
  </si>
  <si>
    <t>LS</t>
  </si>
  <si>
    <t>Power Sockets and Switches</t>
  </si>
  <si>
    <t>16.9-1</t>
  </si>
  <si>
    <t>16.9-2</t>
  </si>
  <si>
    <t>16.9-3</t>
  </si>
  <si>
    <t>16.9-4</t>
  </si>
  <si>
    <t>16.9-5</t>
  </si>
  <si>
    <t>16.9-6</t>
  </si>
  <si>
    <t>16.9-7</t>
  </si>
  <si>
    <t>Isolators :</t>
  </si>
  <si>
    <t xml:space="preserve">supply, install and connect isolator outlet included all cables, wires, conduits, trunks, boxes and all  needed accessories to complete the work as per bill of quantities , drawings , specifications and engineers instructions and approval and as per method of measurement and specifications . </t>
  </si>
  <si>
    <t>16.10-1</t>
  </si>
  <si>
    <t>Lighting system :</t>
  </si>
  <si>
    <t>16.11-1</t>
  </si>
  <si>
    <t>16.11-2</t>
  </si>
  <si>
    <t>16.11-3</t>
  </si>
  <si>
    <t>16.11-4</t>
  </si>
  <si>
    <t>16.11-5</t>
  </si>
  <si>
    <t>16.11-6</t>
  </si>
  <si>
    <t>16.11-7</t>
  </si>
  <si>
    <t>16.11-8</t>
  </si>
  <si>
    <t>16.11-9</t>
  </si>
  <si>
    <t>16.11-10</t>
  </si>
  <si>
    <t>Mtrs</t>
  </si>
  <si>
    <t>16.11-11</t>
  </si>
  <si>
    <t>16.11-12</t>
  </si>
  <si>
    <t>16.11-13</t>
  </si>
  <si>
    <t>Lighting  control system :</t>
  </si>
  <si>
    <t>16.12-1</t>
  </si>
  <si>
    <t xml:space="preserve">LS </t>
  </si>
  <si>
    <t>Cable Tray (System)</t>
  </si>
  <si>
    <t>Supply &amp; Install Cable tray (for power and low current system), as detailed in technical specifications and shown on drawings and as per method of measurement and specifications .</t>
  </si>
  <si>
    <t>Cable Ladder</t>
  </si>
  <si>
    <t>16.15-1</t>
  </si>
  <si>
    <t>Cable tray</t>
  </si>
  <si>
    <t>16.15.2</t>
  </si>
  <si>
    <t>16.15.3</t>
  </si>
  <si>
    <t>CableTrunking</t>
  </si>
  <si>
    <t>16.15.4</t>
  </si>
  <si>
    <t>FIRE ALARM SYSTEM:</t>
  </si>
  <si>
    <t>supply, installation, testing and commissioning of fire alarm system with 4 Loops including main Fire alarm control panel, Repeater panel, All Detectors, Backup batteries, interfaces Monitoring modules as detailed in technical specifications and drawings with input from Client.</t>
  </si>
  <si>
    <t>16.16-1</t>
  </si>
  <si>
    <t>16.16-2</t>
  </si>
  <si>
    <t>16.16-3</t>
  </si>
  <si>
    <t>Smoke Detectors</t>
  </si>
  <si>
    <t>16.16-4</t>
  </si>
  <si>
    <t>Multi Detectors</t>
  </si>
  <si>
    <t>16.16-5</t>
  </si>
  <si>
    <t>Interface Unit</t>
  </si>
  <si>
    <t>16.16-6</t>
  </si>
  <si>
    <t>Manual Call Station</t>
  </si>
  <si>
    <t>16.16-7</t>
  </si>
  <si>
    <t>Sounder / Flasher</t>
  </si>
  <si>
    <t>16.16-8</t>
  </si>
  <si>
    <t xml:space="preserve">Monitoring Module </t>
  </si>
  <si>
    <t>16.16-9</t>
  </si>
  <si>
    <t>Fire Alarm Control Panel 4Loops</t>
  </si>
  <si>
    <t>16.16-10</t>
  </si>
  <si>
    <t xml:space="preserve">Graphical Visualisation soft ware license for 1 panel </t>
  </si>
  <si>
    <t>16.16-11</t>
  </si>
  <si>
    <t xml:space="preserve">Testing &amp; Commissioning &amp; Programming </t>
  </si>
  <si>
    <t>16.16-12</t>
  </si>
  <si>
    <t>Civil Defence - Thrid party Supervision</t>
  </si>
  <si>
    <t>PUBLIC ADDRESS SYSTEM &amp; EVACUATION SYSTEM :</t>
  </si>
  <si>
    <t>All speakers 5W-8W</t>
  </si>
  <si>
    <t>Testing &amp; Commissioning</t>
  </si>
  <si>
    <t>MATV SYSTEM :</t>
  </si>
  <si>
    <t>Supply, installations, testing and commissioning of MATV systems work including cables, conduits, power supply + connections and all related complete accessories &amp; work as per Drawing, Specification and Engineer Instructions.</t>
  </si>
  <si>
    <t>16.18-1</t>
  </si>
  <si>
    <t>MATV Points (Conduing with Accessories)</t>
  </si>
  <si>
    <t>16.18-2</t>
  </si>
  <si>
    <t>MATV Cables</t>
  </si>
  <si>
    <t>16.18-3</t>
  </si>
  <si>
    <t>RF Amplifier</t>
  </si>
  <si>
    <t>16.18-4</t>
  </si>
  <si>
    <t>1 into 8 RF splitter</t>
  </si>
  <si>
    <t>16.18-5</t>
  </si>
  <si>
    <t>TV outlet for RF</t>
  </si>
  <si>
    <t>16.18-6</t>
  </si>
  <si>
    <t xml:space="preserve">Power Supply for Amplifier </t>
  </si>
  <si>
    <t>16.18-7</t>
  </si>
  <si>
    <t xml:space="preserve">Samsung , 50 inch , Smart screen </t>
  </si>
  <si>
    <t>16.18-8</t>
  </si>
  <si>
    <t>Samsung , 70 inch , Smart Screen</t>
  </si>
  <si>
    <t>16.18-9</t>
  </si>
  <si>
    <t>SECURITY / CCTV SYSTEM :</t>
  </si>
  <si>
    <t>Supply, installations, testing and commissioning of CCTV systems work including cables, conduits, power supply + connections and licences with surveillance software, storage server and poe switches and all related complete accessories &amp; work as per Drawing, Specification and Engineer Instructions.</t>
  </si>
  <si>
    <t>16.19-1</t>
  </si>
  <si>
    <t>CCTV Points (Conduing with Accessories)</t>
  </si>
  <si>
    <t>16.19-2</t>
  </si>
  <si>
    <t>CCTV CAT6A Cables</t>
  </si>
  <si>
    <t>16.19-3</t>
  </si>
  <si>
    <t>Dome Camera (FIXED)</t>
  </si>
  <si>
    <t>16.19-4</t>
  </si>
  <si>
    <t>Bullet Camera (FIXED)</t>
  </si>
  <si>
    <t>16.19-5</t>
  </si>
  <si>
    <t>WorkStation</t>
  </si>
  <si>
    <t>16.19-6</t>
  </si>
  <si>
    <t>NVR with license</t>
  </si>
  <si>
    <t>16.19-7</t>
  </si>
  <si>
    <t>Cabinet</t>
  </si>
  <si>
    <t>16.19-8</t>
  </si>
  <si>
    <t>Hard Disk with miniumum 3 months backup</t>
  </si>
  <si>
    <t>16.19-9</t>
  </si>
  <si>
    <t>Configuration, Testing &amp; Commissioning</t>
  </si>
  <si>
    <t>MASTER CLOCK SYSTEM :</t>
  </si>
  <si>
    <t>Supply, installations, testing and commissioning of Master clock system work including cables, conduits, power supply + connections, poe switches and all related complete accessories &amp; work as per Drawing, Specification and Engineer Instructions.</t>
  </si>
  <si>
    <t>16.20-1</t>
  </si>
  <si>
    <t>Clock Points (Conduing with Accessories)</t>
  </si>
  <si>
    <t>16.20-2</t>
  </si>
  <si>
    <t>Clock System CATA6A Cables</t>
  </si>
  <si>
    <t>16.20-3</t>
  </si>
  <si>
    <t>Single side digital Clock</t>
  </si>
  <si>
    <t>16.20-4</t>
  </si>
  <si>
    <t>Double side digital Clock</t>
  </si>
  <si>
    <t>16.20-5</t>
  </si>
  <si>
    <t xml:space="preserve">GPS Antenna </t>
  </si>
  <si>
    <t>16.20-6</t>
  </si>
  <si>
    <t>DIGITAL SIGNAGE SYSTEM :</t>
  </si>
  <si>
    <t>Supply, installations, testing and commissioning of Digital signage system work including cables, conduits, power supply + connections, poe switches and all related complete accessories &amp; work as per Drawing, Specification and Engineer Instructions.</t>
  </si>
  <si>
    <t>16.21-1</t>
  </si>
  <si>
    <t>16.21-2</t>
  </si>
  <si>
    <t>16.21-3</t>
  </si>
  <si>
    <t xml:space="preserve">Samsung DB10DDigital Signage with Embbeded </t>
  </si>
  <si>
    <t>16.21-4</t>
  </si>
  <si>
    <t>Bracket wall mount Kit</t>
  </si>
  <si>
    <t>16.21-5</t>
  </si>
  <si>
    <t>Samsung MagicInfo Server License for S Player</t>
  </si>
  <si>
    <t>16.21-6</t>
  </si>
  <si>
    <t>Digital signage management software License / FREE</t>
  </si>
  <si>
    <t>16.21-7</t>
  </si>
  <si>
    <t>Samsung MagicInfo Server License for Author / Free</t>
  </si>
  <si>
    <t>16.21-8</t>
  </si>
  <si>
    <t xml:space="preserve">Core i5 4th  Generation computer for managemant software with 4 GB Ram .2TB HD. Keyborad and mouse </t>
  </si>
  <si>
    <t>16.21-9</t>
  </si>
  <si>
    <t>Configuration , Testing &amp; Commissioning</t>
  </si>
  <si>
    <t>NURSE CALL SYSTEM :  (Scope of work To Be Checked with Design Team.)</t>
  </si>
  <si>
    <t>Supply, installations, testing and commissioning of Nurse call system work including cables, conduits, power supply + connections and all related complete accessories &amp; work as per Drawing, Specification and Engineer Instructions.</t>
  </si>
  <si>
    <t>16.22-1</t>
  </si>
  <si>
    <t>Nurse Call Points (Conduing with Accessories)</t>
  </si>
  <si>
    <t>16.22-2</t>
  </si>
  <si>
    <t>Nurse Call System Cables as required</t>
  </si>
  <si>
    <t>16.22-3</t>
  </si>
  <si>
    <t xml:space="preserve">Nurse call equipemnt, devices, configuration, testing &amp; commissioning </t>
  </si>
  <si>
    <t>TELEPHONE &amp; DATA SYSTEM</t>
  </si>
  <si>
    <t>Supply, installations, testing and commissioning of Telephone &amp; Data system work including cables, conduits, power supply + connections, IPPBX, voice mail server, unified call manager, voice recording and all related complete accessories &amp; work as per Drawing, Specification and Engineer Instructions.</t>
  </si>
  <si>
    <t>16.23-1</t>
  </si>
  <si>
    <t>16.23-2</t>
  </si>
  <si>
    <t>T.D CAT6A Cables</t>
  </si>
  <si>
    <t>16.23-3</t>
  </si>
  <si>
    <t>Computer outlet</t>
  </si>
  <si>
    <t>16.23-4</t>
  </si>
  <si>
    <t>Telephone outlet</t>
  </si>
  <si>
    <t>16.23-5</t>
  </si>
  <si>
    <t>Wireless Access</t>
  </si>
  <si>
    <t>16.23-6</t>
  </si>
  <si>
    <t>Cabinet , 47U Floor standing rack with 4fans ventilation unit , 2x32A 3PH vertical basic PDU</t>
  </si>
  <si>
    <t>16.23-7</t>
  </si>
  <si>
    <t>Telephone Set</t>
  </si>
  <si>
    <t>16.23-8</t>
  </si>
  <si>
    <t xml:space="preserve">Cisco small business 48 port Gigabit network switch </t>
  </si>
  <si>
    <t>16.23-9</t>
  </si>
  <si>
    <t>24 port Fiber optic patch panel</t>
  </si>
  <si>
    <t>16.23-10</t>
  </si>
  <si>
    <t>48 port comscope cat6A patch panel</t>
  </si>
  <si>
    <t>16.23-11</t>
  </si>
  <si>
    <t xml:space="preserve">MultiMode 12core fiber optic cable </t>
  </si>
  <si>
    <t>16.23-12</t>
  </si>
  <si>
    <t>Fiber patch cord cable &amp; jumber ( 1m , 2m ,3m , 5m)</t>
  </si>
  <si>
    <t>16.23-13</t>
  </si>
  <si>
    <t>Comscope CAT6A patch cord cable ( 1m , 3m , 5m)</t>
  </si>
  <si>
    <t>16.23-14</t>
  </si>
  <si>
    <t>QUEING MANAGEMENT SYSTEM</t>
  </si>
  <si>
    <t>Supply, installations, testing and commissioning of Queing management system work including cables, conduits, power supply + connections and all related complete accessories &amp; work as per Drawing, Specification and Engineer Instructions.</t>
  </si>
  <si>
    <t>16.24-1</t>
  </si>
  <si>
    <t>16.24-2</t>
  </si>
  <si>
    <t>Queing System CAT6A Cables</t>
  </si>
  <si>
    <t>16.24-3</t>
  </si>
  <si>
    <t xml:space="preserve"> ticket despenser  </t>
  </si>
  <si>
    <t>16.24-4</t>
  </si>
  <si>
    <t xml:space="preserve"> counter  display  unit</t>
  </si>
  <si>
    <t>16.24-5</t>
  </si>
  <si>
    <t xml:space="preserve"> waiting area    display  unit</t>
  </si>
  <si>
    <t>16.24-6</t>
  </si>
  <si>
    <t xml:space="preserve"> key board (calling  unit)</t>
  </si>
  <si>
    <t>16.24-7</t>
  </si>
  <si>
    <t>Central controller for queing system</t>
  </si>
  <si>
    <t>16.24-8</t>
  </si>
  <si>
    <t xml:space="preserve">6W ceiling mounted load speaker with match transformer.
</t>
  </si>
  <si>
    <t>16.24-9</t>
  </si>
  <si>
    <t xml:space="preserve"> RACK     for  system  componant ,  include UPS</t>
  </si>
  <si>
    <t>16.24-10</t>
  </si>
  <si>
    <t xml:space="preserve">60  inch    LED  monitor for dashboard and statistics </t>
  </si>
  <si>
    <t>16.24-11</t>
  </si>
  <si>
    <t xml:space="preserve"> workstation  With  licensed software  for monotoriing   and report  generation  , connection   to  BMS  and all necessary equipment needed to complete the operation of the system.</t>
  </si>
  <si>
    <t>16.24-12</t>
  </si>
  <si>
    <t>Access Control System</t>
  </si>
  <si>
    <t>Supply, installations, testing and commissioning of Access Control system work including cables, conduits, power supply + connections and all related complete accessories &amp; work as per Drawing, Specification and Engineer Instructions.</t>
  </si>
  <si>
    <t>16.25-1</t>
  </si>
  <si>
    <t>16.25-2</t>
  </si>
  <si>
    <t>A.C. CAT6A Cables</t>
  </si>
  <si>
    <t>16.25-3</t>
  </si>
  <si>
    <t>Card Reader</t>
  </si>
  <si>
    <t>16.25-4</t>
  </si>
  <si>
    <t>Push Button</t>
  </si>
  <si>
    <t>16.25-5</t>
  </si>
  <si>
    <t>4 Door Controller</t>
  </si>
  <si>
    <t>16.25-6</t>
  </si>
  <si>
    <t>Single Door Magnetic Lock</t>
  </si>
  <si>
    <t>16.25-7</t>
  </si>
  <si>
    <t>Double Door Magnetic Lock</t>
  </si>
  <si>
    <t>16.25-8</t>
  </si>
  <si>
    <t>Power Supply Unit 240V AC / 12V DC</t>
  </si>
  <si>
    <t>16.25-9</t>
  </si>
  <si>
    <t>Total for Electrical Works in SAR</t>
  </si>
  <si>
    <t>MECHANICAL - MEDICAL GASES</t>
  </si>
  <si>
    <t>MEDICAL GAS PIPES</t>
  </si>
  <si>
    <t>Supply&amp; install Medical Grade De-greased copper pipe work and fittings as specified including hangers and supports for the following diameters:</t>
  </si>
  <si>
    <t>VALVES &amp; OUTLETS .</t>
  </si>
  <si>
    <t>Supply&amp; install Line Ball valves for medical gases as specified including hangers and supports for the following diameters:</t>
  </si>
  <si>
    <t>BED HEAD UNITS</t>
  </si>
  <si>
    <t>Supply installation, testing and commissioning of Bed Head Units with accessories</t>
  </si>
  <si>
    <t>Each Bed Head Unit requires 6 to 10 electrical sockets ( 5 Red colored for UPS) and ( 5 Normal white colored)
The sockets must be MK standard (Legrand) surface mounted  
Each Bed Requires 1RJ45 Data Connector Socket on its BHU access provision 
Every Bed Head Unit or Bed Side BHU must have 1 cutout 45x45mm for nurse call system
Every BHU must have a upper and lower integrated  Medical Aluminum Rail of Size 25x10 mm 
Each Bed Requires 3 to 5 Medical Gases as per requirement Type DIN German Standards</t>
  </si>
  <si>
    <t>MISCELLANEOUS ITEMS</t>
  </si>
  <si>
    <t>Total for Medical Gases Works in SAR</t>
  </si>
  <si>
    <t>EA</t>
  </si>
  <si>
    <t>Installation</t>
  </si>
  <si>
    <t>frame for cover plates ( single )</t>
  </si>
  <si>
    <t>cover plate call switch with pull cord</t>
  </si>
  <si>
    <t>call switch with pull cord and knob ( ncc )</t>
  </si>
  <si>
    <t>sealing kit for standard installations of 5
units ( ipx4 )</t>
  </si>
  <si>
    <t>cover plate call/cancel push button red and
green</t>
  </si>
  <si>
    <t>call/cancel push button noc/ncc 4/5 core
wiring</t>
  </si>
  <si>
    <t>connection board for em340/341
with/without bed data bus silver</t>
  </si>
  <si>
    <t>room electonic module em340 with bed data
bus silver</t>
  </si>
  <si>
    <t>master statiion with touchscreen clino phon
99</t>
  </si>
  <si>
    <t>cover plate data bus connection unit</t>
  </si>
  <si>
    <t>data bus connection unit for master station</t>
  </si>
  <si>
    <t>connection board duty room interface white
cp99</t>
  </si>
  <si>
    <t>duty room interface 4 lamps clino phon 99</t>
  </si>
  <si>
    <t>Nurse Call System</t>
  </si>
  <si>
    <t>Testing And Commissioning And Graphics System Integrated With Existing System</t>
  </si>
  <si>
    <t>Installation Of All Field Devices</t>
  </si>
  <si>
    <t>4 Loop Fire Alarm Control Panel (Addressable)</t>
  </si>
  <si>
    <t>Electronic Sounder</t>
  </si>
  <si>
    <t>Electronic Flasher</t>
  </si>
  <si>
    <t xml:space="preserve"> Control Module 30v – Mcom</t>
  </si>
  <si>
    <t>Control Module 220v, Ac– Cmi0353</t>
  </si>
  <si>
    <t>Monitoring Module - Mc0m</t>
  </si>
  <si>
    <t>Addressable Electronic Sounder With Flasher 
 ( Weather Proof )</t>
  </si>
  <si>
    <t xml:space="preserve">Addressable Electronic Sounder With Flasher </t>
  </si>
  <si>
    <t>Protective Hinged Cover ( Pack Of 10 )</t>
  </si>
  <si>
    <t>Addressable Manual Call Point ( Weather Proof )</t>
  </si>
  <si>
    <t>Addressable Manual Call Point</t>
  </si>
  <si>
    <t>Addressable Duct Smoke Detector</t>
  </si>
  <si>
    <t>Addressable Fixed Temperature Heat Detector</t>
  </si>
  <si>
    <t>Optical Smoke Detector With Led Indicator</t>
  </si>
  <si>
    <t>Addressable Optical Smoke Detector</t>
  </si>
  <si>
    <t xml:space="preserve">Installation </t>
  </si>
  <si>
    <t>Each</t>
  </si>
  <si>
    <t xml:space="preserve">TESTING &amp; commissioning </t>
  </si>
  <si>
    <t>ALUMINIUM DOOR RELEASE BUTTON</t>
  </si>
  <si>
    <t>Touchless exit button</t>
  </si>
  <si>
    <t>OMNIProx Proximity Reader 9cm Reading
Range HID Box Mounted,</t>
  </si>
  <si>
    <t>OP90 PROXIMITY READER, VANDAL
RESISTANT STAINLESS STEEL TYPICAL READ
RANGE 2". OPTICAL TAMPER, HOST</t>
  </si>
  <si>
    <t>Z&amp;L lock kit for magnetic fixing in different
directions</t>
  </si>
  <si>
    <t>600lbs Small Magnetic Lock</t>
  </si>
  <si>
    <t>Magnetic mechanical door lock tongue screw</t>
  </si>
  <si>
    <t>8/4 door number in control panel Reader
inside metal box, with power source for
doors and with battery - can be operated
directly on computer without software</t>
  </si>
  <si>
    <t>A.C. Points (Conduing with Accessories)</t>
  </si>
  <si>
    <t>Queing. Points (Conduing with Accessories)</t>
  </si>
  <si>
    <t>T.D. Points (Conduing with Accessories)</t>
  </si>
  <si>
    <t>LOT</t>
  </si>
  <si>
    <t>Installation Charges</t>
  </si>
  <si>
    <t>SOFTWARE</t>
  </si>
  <si>
    <t>BRACKET</t>
  </si>
  <si>
    <t>OPERTIONAL SCREEN 55"</t>
  </si>
  <si>
    <t>STAFF SCREEN 55"</t>
  </si>
  <si>
    <t>DOCTOR TOUCH SCREEN 13"</t>
  </si>
  <si>
    <t>Conduiting, Cable pulling of data and power socket, installation of Face plate for data outlet and power socket for COUNTER TOUCH SCREEN 13"</t>
  </si>
  <si>
    <t>DIRECTORy LISTING SCREEN 55"</t>
  </si>
  <si>
    <t>OPERATIONAL DISPLAY 55" OD</t>
  </si>
  <si>
    <t>D.S CAT6A Cables</t>
  </si>
  <si>
    <t>D.S. Points (Conduing with Accessories)</t>
  </si>
  <si>
    <t>INSTATLLATION</t>
  </si>
  <si>
    <t>SMALL ORDER DOCUMENTATION &amp;
HANDLING CHARGES (APPLICABLE IF PO
VALUE LESS THAN SR.20,000.00)</t>
  </si>
  <si>
    <t xml:space="preserve">PROGRAMMING, TESTING &amp;
COMMISSIONING 
</t>
  </si>
  <si>
    <t>DOUBLE MOUNT HOUSING FOR ABOVE</t>
  </si>
  <si>
    <t>SAPLING SINGLE SIDE DIGITAL IP CLOCK, 3100
MODEL, 4.0", 4 DIGITS, POE, RED DISPLAY,
SURFACE WALL MOUNT</t>
  </si>
  <si>
    <t xml:space="preserve">Testing and Commissioning 
</t>
  </si>
  <si>
    <t>wireless microphone</t>
  </si>
  <si>
    <t>[L-PHP30A] HORN LOUDSPEAKER 630/15W
WITH ABS</t>
  </si>
  <si>
    <t>L-VWM06A/ENVA LS - 6W Metal Wall Mount</t>
  </si>
  <si>
    <t>L-VCP06A/EN 6W Ceiling Loudspeaker ABS
back box EN54</t>
  </si>
  <si>
    <t>Amount 
 ( SR )</t>
  </si>
  <si>
    <t>Unit Price
 (SR)</t>
  </si>
  <si>
    <t xml:space="preserve">Supply and Install complete Building Management and Control System ( BMS ), to control all the electrical and mechanical system , and equipment and its accessories in addition to a complete shop drawing for the whole system.  </t>
  </si>
  <si>
    <t xml:space="preserve">Fire Alarm Points (Conduing with Accessories) 
</t>
  </si>
  <si>
    <t xml:space="preserve">Fire Alarm cabling            </t>
  </si>
  <si>
    <t>15 mm diameter Valve (100%)</t>
  </si>
  <si>
    <t>22 mm diameter Valve (100%)</t>
  </si>
  <si>
    <t>supply &amp; Install Medical gas outlet for 02 , MA,VAC, N2O, AGSS (100%)</t>
  </si>
  <si>
    <t>Area Gas Service Unit 3 Gases (100%)</t>
  </si>
  <si>
    <t>Labels/Identification for all Medical Gases Equipment &amp; Piping as per specification. (Stickers) 100%</t>
  </si>
  <si>
    <t>15 mm diameter   100%</t>
  </si>
  <si>
    <t>22 mm diameter   100%</t>
  </si>
  <si>
    <t>WAITING AREA 55"  100%</t>
  </si>
  <si>
    <t>BRACKET 100%</t>
  </si>
  <si>
    <t>Amount</t>
  </si>
  <si>
    <t>Low Current</t>
  </si>
  <si>
    <t>Total for LC Works in SAR</t>
  </si>
  <si>
    <t>Electrical Works</t>
  </si>
  <si>
    <t>Medical Gas</t>
  </si>
  <si>
    <t>S. No.</t>
  </si>
  <si>
    <t>GENERAL REQUIREMENTS</t>
  </si>
  <si>
    <t>CIVIL &amp; ARCHITECTURAL WORKS</t>
  </si>
  <si>
    <t>MECHANICAL WORKS</t>
  </si>
  <si>
    <t>ELECTRICAL &amp; LC WORKS</t>
  </si>
  <si>
    <t>MEDICAL GASES WORKS</t>
  </si>
  <si>
    <t>DESIGN WORKS</t>
  </si>
  <si>
    <t>SGH Makkah OPD Expansion Abstract</t>
  </si>
  <si>
    <t>LANscape® Fibre Housing loaded with LC Duplex shuttered adapters and
pigtails, 24 Fibres, 1U, Multim</t>
  </si>
  <si>
    <t>Central Tube Indoor/Outdoor Dielectric Armor Cable (1x24) G50 MMF ClearCurve® OM3 CT 3,0</t>
  </si>
  <si>
    <t>42U 800 X 800 front glass door and rear perforated door with Vertical Cable managers and accessories (1 Per Cabinet)
4 columns, 2 pairs of 19" vertical extrusions
(1 Per Cabinet)
top and bottom cover, 4 holders of vertical extrusions (1 Per Cabinet)
Glass front door and rear vertically divided perforated door - 86% (1 Per
Cabinet)
2 side panels,2 holders of vertical extrusions (1 Per Cabinet)
Ventilation unit, 4 fans, without thermostat, 448m3/h (for up to 760W at
ΔT=5K), for top or bottom installation to the racks depth 600mm,800 and
1200mm (1 Per Cabinet)
Vertical Manager (Rack) with three section removeable cover, 41 fingers,
front only, (HxWxD) 42Ux100x112mm, 10 velcro ties (2 Per Cabinet)
High load castor - 1 piece (2 Per Cabinet) Lockable high load castor - 1 piece (2 Per Cabinet)
19"/1U Basic PDU, 6-way socket panel - UK type, switch (2 Per Cabinet)</t>
  </si>
  <si>
    <t>DDP Charges</t>
  </si>
  <si>
    <t>Systimax, Fiber, Modular,1U, Sliding Cassette Shelf,360G2-1U-MOD-SD</t>
  </si>
  <si>
    <t>Systimax, Modular LC Cartridge WithPigtails, LazrSPEED,360G2 Cartridge 12-LC-LS-AQ-Pigtails, Aqua iP</t>
  </si>
  <si>
    <t>Cisco,UC Phone 7811</t>
  </si>
  <si>
    <t>FINOSEL, Cabinet, 42U FS 4xfans,
Vertical organizer,wheels, FD Glass and Rear Double  Doors 800x800</t>
  </si>
  <si>
    <t>Systimax, Fiber, Optic Cable, 12 FET Core,D-012-LA-5K-F12NS , OM4,
LazrSPEED (10G@550) Outdoor</t>
  </si>
  <si>
    <t>Cisco, Smartnet Warranty UC Phone 7811SNTC  8X5XNBD 1 Year</t>
  </si>
  <si>
    <t>Professional Services:
C9300 48_UPOE (Switch) UC Phone 7811
Configuration of above items as per customer
requirement Rack with PDU, Patch panel and accessories Installation at server room Cat6a cable Tracing, Dressing and testing Cat6a cable Termination at Rack side &amp; User end
Ceiling panel removal and placement during cable
Cable termination in ceiling with PVC box and faceplate for the devices
(camera, clock, Wi-Fi) points
Labeling at User end &amp; Patch panel and at patch cord
Patching between panel &amp; Cisco switch 480 Fiber Splicing and patching with switches
OTDR test : 01 Lot and Fluke Test Report Network Intelligence build
Testing, Commissioning, User Training &amp; documentation</t>
  </si>
  <si>
    <r>
      <rPr>
        <sz val="12"/>
        <rFont val="Calibri"/>
        <family val="2"/>
        <scheme val="minor"/>
      </rPr>
      <t>Catalyst 9300 48-port UPOE, Network Advantage</t>
    </r>
  </si>
  <si>
    <r>
      <rPr>
        <sz val="12"/>
        <rFont val="Calibri"/>
        <family val="2"/>
        <scheme val="minor"/>
      </rPr>
      <t>SNTC-8X5XNBD Catalyst 9300 48-port UPOE, Network Adva</t>
    </r>
  </si>
  <si>
    <r>
      <rPr>
        <sz val="12"/>
        <rFont val="Calibri"/>
        <family val="2"/>
        <scheme val="minor"/>
      </rPr>
      <t>C9300 DNA Advantage, 48-Port Term Licenses</t>
    </r>
  </si>
  <si>
    <r>
      <rPr>
        <sz val="12"/>
        <rFont val="Calibri"/>
        <family val="2"/>
        <scheme val="minor"/>
      </rPr>
      <t>C9300 DNA Advantage, 48-Port, 3 Year Term License</t>
    </r>
  </si>
  <si>
    <r>
      <rPr>
        <sz val="12"/>
        <rFont val="Calibri"/>
        <family val="2"/>
        <scheme val="minor"/>
      </rPr>
      <t>Cisco DNA Spaces Extend Term License for Catalyst Switches</t>
    </r>
  </si>
  <si>
    <r>
      <rPr>
        <sz val="12"/>
        <rFont val="Calibri"/>
        <family val="2"/>
        <scheme val="minor"/>
      </rPr>
      <t>Cisco DNA Spaces Extend for Catalyst Switching - 3Year</t>
    </r>
  </si>
  <si>
    <r>
      <rPr>
        <sz val="12"/>
        <rFont val="Calibri"/>
        <family val="2"/>
        <scheme val="minor"/>
      </rPr>
      <t>Cisco ThousandEyes Enterprise Agent IBN Embedded</t>
    </r>
  </si>
  <si>
    <r>
      <rPr>
        <sz val="12"/>
        <rFont val="Calibri"/>
        <family val="2"/>
        <scheme val="minor"/>
      </rPr>
      <t>ThousandEyes - Enterprise Agents</t>
    </r>
  </si>
  <si>
    <r>
      <rPr>
        <sz val="12"/>
        <rFont val="Calibri"/>
        <family val="2"/>
        <scheme val="minor"/>
      </rPr>
      <t>C9300 Network Advantage, 48-port license</t>
    </r>
  </si>
  <si>
    <r>
      <rPr>
        <sz val="12"/>
        <rFont val="Calibri"/>
        <family val="2"/>
        <scheme val="minor"/>
      </rPr>
      <t>Cisco Catalyst 9300 XE 17.12 UNIVERSAL</t>
    </r>
  </si>
  <si>
    <r>
      <rPr>
        <sz val="12"/>
        <rFont val="Calibri"/>
        <family val="2"/>
        <scheme val="minor"/>
      </rPr>
      <t>1100W AC 80+ platinum Config 1 Power Supply</t>
    </r>
  </si>
  <si>
    <r>
      <rPr>
        <sz val="12"/>
        <rFont val="Calibri"/>
        <family val="2"/>
        <scheme val="minor"/>
      </rPr>
      <t>1100W AC 80+ platinum Config 1 Secondary Power Supply</t>
    </r>
  </si>
  <si>
    <r>
      <rPr>
        <sz val="12"/>
        <rFont val="Calibri"/>
        <family val="2"/>
        <scheme val="minor"/>
      </rPr>
      <t>United Kingdom AC Type A Power Cable</t>
    </r>
  </si>
  <si>
    <r>
      <rPr>
        <sz val="12"/>
        <rFont val="Calibri"/>
        <family val="2"/>
        <scheme val="minor"/>
      </rPr>
      <t>50CM Type 1 Stacking Cable</t>
    </r>
  </si>
  <si>
    <r>
      <rPr>
        <sz val="12"/>
        <rFont val="Calibri"/>
        <family val="2"/>
        <scheme val="minor"/>
      </rPr>
      <t>Catalyst Stack Power Cable 30 CM</t>
    </r>
  </si>
  <si>
    <r>
      <rPr>
        <sz val="12"/>
        <rFont val="Calibri"/>
        <family val="2"/>
        <scheme val="minor"/>
      </rPr>
      <t>TE agent for IOSXE on C9K</t>
    </r>
  </si>
  <si>
    <r>
      <rPr>
        <sz val="12"/>
        <rFont val="Calibri"/>
        <family val="2"/>
        <scheme val="minor"/>
      </rPr>
      <t>RUBBER FEET FOR TABLE TOP SETUP 9200 and 9300</t>
    </r>
  </si>
  <si>
    <r>
      <rPr>
        <sz val="12"/>
        <rFont val="Calibri"/>
        <family val="2"/>
        <scheme val="minor"/>
      </rPr>
      <t>12-24 and 10-32 SCREWS FOR RACK
INSTALLATION, QTY 4</t>
    </r>
  </si>
  <si>
    <r>
      <rPr>
        <sz val="12"/>
        <rFont val="Calibri"/>
        <family val="2"/>
        <scheme val="minor"/>
      </rPr>
      <t>1RU CABLE MANAGEMENT GUIDES 9200
and 9300</t>
    </r>
  </si>
  <si>
    <r>
      <rPr>
        <sz val="12"/>
        <rFont val="Calibri"/>
        <family val="2"/>
        <scheme val="minor"/>
      </rPr>
      <t>Catalyst 9300 8 x 10GE Network Module</t>
    </r>
  </si>
  <si>
    <r>
      <rPr>
        <sz val="12"/>
        <rFont val="Calibri"/>
        <family val="2"/>
        <scheme val="minor"/>
      </rPr>
      <t>Network Plug-n-Play Connect for zero- touch device deployment</t>
    </r>
  </si>
  <si>
    <t>Volume Control Switch 60W [60VC-HN [60VCHN
4 With Protection Circuit, White</t>
  </si>
  <si>
    <t xml:space="preserve">Fire Alarm System  </t>
  </si>
  <si>
    <t xml:space="preserve">Networking System </t>
  </si>
  <si>
    <t>17.1-1</t>
  </si>
  <si>
    <t>17.1-2</t>
  </si>
  <si>
    <t>17.2-1</t>
  </si>
  <si>
    <t>17.2-2</t>
  </si>
  <si>
    <t>17.2-3</t>
  </si>
  <si>
    <t>17.2-4</t>
  </si>
  <si>
    <t>17.3-1</t>
  </si>
  <si>
    <t>17.4-1</t>
  </si>
  <si>
    <t>DESCRIPTION</t>
  </si>
  <si>
    <t>Amount (SAR)</t>
  </si>
  <si>
    <t xml:space="preserve">GRAND TOTAL </t>
  </si>
  <si>
    <t>Qty</t>
  </si>
  <si>
    <t>Power Points (Conduing &amp; Wiring with Accessories)</t>
  </si>
  <si>
    <t xml:space="preserve">1 G 1W Switch  </t>
  </si>
  <si>
    <t xml:space="preserve">2 G 1W Switch   </t>
  </si>
  <si>
    <t xml:space="preserve">Single socket Berker 1G   </t>
  </si>
  <si>
    <t xml:space="preserve">Duplex socket Berker 1G for PVC trunking   </t>
  </si>
  <si>
    <t xml:space="preserve">Industrial low voltage socket 5 pin 30A  </t>
  </si>
  <si>
    <t xml:space="preserve">Recessed type floor box with 2 compartments and push opening option   </t>
  </si>
  <si>
    <t>32 A ISOLATOR TPN</t>
  </si>
  <si>
    <t xml:space="preserve">Lighting Points (Conduing &amp; Wiring with Accessories) </t>
  </si>
  <si>
    <t xml:space="preserve">Type - L1 , Square down light 23w , IP44 , 230V , 60HZ    </t>
  </si>
  <si>
    <t xml:space="preserve">Type - L2 , Square Panel down light 16w , 230v , IP44 , 5000K   </t>
  </si>
  <si>
    <t xml:space="preserve">Type - L3 , Square spot light 5w , 230V , IP23 , 3000K   </t>
  </si>
  <si>
    <t xml:space="preserve">Type - L7 , Circular down light 10.5w , IP45 , 230V , 4000K   </t>
  </si>
  <si>
    <t xml:space="preserve">Type - L8 , Circular spot light 5w , 230V , 60HZ , 3000k   </t>
  </si>
  <si>
    <t xml:space="preserve">Type - L11 , Led Panel light 600x600, 28W,230V , IP44, 5000K  </t>
  </si>
  <si>
    <t xml:space="preserve">Type - L14B , Led Linear Modular light , 26w , 1450mm , 1p22 , 230V , 60HZ , 4000K    </t>
  </si>
  <si>
    <t xml:space="preserve">Type - L15 , Led surface mounted 36w , 230v , 60hz , with battery backup , 6000k     </t>
  </si>
  <si>
    <t xml:space="preserve">Type - L18 , Hidden cove light , 3000K   </t>
  </si>
  <si>
    <t xml:space="preserve">Led Power Supply IP20, 240V/24 for L18    </t>
  </si>
  <si>
    <t xml:space="preserve">Push Button - KNX   </t>
  </si>
  <si>
    <t xml:space="preserve">Exit Sign    </t>
  </si>
  <si>
    <t>supply, install &amp;connect, complete  lighting control   system (knx technology ) including ,  software  ,  IP-gateway  , 230V KNX power supply , keypads .... etc  ,conduits boxes , wires ,  relay swiches or switch panels and all other accessories from the appropriate bistribution board to the point as specified and/or detailed on the drawings and as per method of measurement and specifications  .</t>
  </si>
  <si>
    <t xml:space="preserve">300x100mm cable tray </t>
  </si>
  <si>
    <t xml:space="preserve">200x100mm cable tray   </t>
  </si>
  <si>
    <t xml:space="preserve">300x100mm cable tray   </t>
  </si>
  <si>
    <t xml:space="preserve">200x100mm cable trunk with Cover  </t>
  </si>
  <si>
    <t>16.17.1</t>
  </si>
  <si>
    <t>16.17.2</t>
  </si>
  <si>
    <t>16.17.3</t>
  </si>
  <si>
    <t>16.17.4</t>
  </si>
  <si>
    <t>16.17.5</t>
  </si>
  <si>
    <t>16.17.6</t>
  </si>
  <si>
    <t>16.17.7</t>
  </si>
  <si>
    <t>16.18.1</t>
  </si>
  <si>
    <t>16.18.2</t>
  </si>
  <si>
    <t>16.18.3</t>
  </si>
  <si>
    <t>16.18.4</t>
  </si>
  <si>
    <t>16.18.5</t>
  </si>
  <si>
    <t>16.19.1</t>
  </si>
  <si>
    <t>16.19.2</t>
  </si>
  <si>
    <t>16.19.3</t>
  </si>
  <si>
    <t>16.19.4</t>
  </si>
  <si>
    <t>16.19.5</t>
  </si>
  <si>
    <t>16.19.6</t>
  </si>
  <si>
    <t>16.19.7</t>
  </si>
  <si>
    <t>16.19.8</t>
  </si>
  <si>
    <t>16.19.9</t>
  </si>
  <si>
    <t>16.19.10</t>
  </si>
  <si>
    <t>16.19.11</t>
  </si>
  <si>
    <t>16.19.12</t>
  </si>
  <si>
    <t>16.19.13</t>
  </si>
  <si>
    <t>16.19.14</t>
  </si>
  <si>
    <t>16.20.1</t>
  </si>
  <si>
    <t>16.20.2</t>
  </si>
  <si>
    <t>16.20.3</t>
  </si>
  <si>
    <t>16.20.4</t>
  </si>
  <si>
    <t>16.20.5</t>
  </si>
  <si>
    <t>16.20.6</t>
  </si>
  <si>
    <t>16.20.7</t>
  </si>
  <si>
    <t>16.20.8</t>
  </si>
  <si>
    <t>16.20.9</t>
  </si>
  <si>
    <t>16.20.10</t>
  </si>
  <si>
    <t>16.21.1</t>
  </si>
  <si>
    <t>16.21.2</t>
  </si>
  <si>
    <t>16.21.3</t>
  </si>
  <si>
    <t>16.21.4</t>
  </si>
  <si>
    <t>16.21.5</t>
  </si>
  <si>
    <t>16.21.6</t>
  </si>
  <si>
    <t>16.21.7</t>
  </si>
  <si>
    <t>16.21.8</t>
  </si>
  <si>
    <t>16.21.9</t>
  </si>
  <si>
    <t>16.21.10</t>
  </si>
  <si>
    <t>16.21.11</t>
  </si>
  <si>
    <t>16.21.12</t>
  </si>
  <si>
    <t>16.21.13</t>
  </si>
  <si>
    <t>16.21.14</t>
  </si>
  <si>
    <t>16.21.15</t>
  </si>
  <si>
    <t>16.21.16</t>
  </si>
  <si>
    <t>16.21.17</t>
  </si>
  <si>
    <t>16.22.1</t>
  </si>
  <si>
    <t>16.22.2</t>
  </si>
  <si>
    <t>16.22.3</t>
  </si>
  <si>
    <t>16.22.4</t>
  </si>
  <si>
    <t>16.22.5</t>
  </si>
  <si>
    <t>16.22.6</t>
  </si>
  <si>
    <t>16.22.7</t>
  </si>
  <si>
    <t>16.22.8</t>
  </si>
  <si>
    <t>16.22.9</t>
  </si>
  <si>
    <t>16.22.10</t>
  </si>
  <si>
    <t>16.22.11</t>
  </si>
  <si>
    <t>16.22.12</t>
  </si>
  <si>
    <t>16.22.13</t>
  </si>
  <si>
    <t>16.22.14</t>
  </si>
  <si>
    <t>16.22.15</t>
  </si>
  <si>
    <t>16.22.16</t>
  </si>
  <si>
    <t>16.22.17</t>
  </si>
  <si>
    <t>16.22.18</t>
  </si>
  <si>
    <t>16.22.19</t>
  </si>
  <si>
    <t>16.22.20</t>
  </si>
  <si>
    <t>16.22.21</t>
  </si>
  <si>
    <t>16.22.22</t>
  </si>
  <si>
    <t>16.22.23</t>
  </si>
  <si>
    <t>16.22.24</t>
  </si>
  <si>
    <t>16.22.25</t>
  </si>
  <si>
    <t>16.22.26</t>
  </si>
  <si>
    <t>16.22.27</t>
  </si>
  <si>
    <t>16.22.28</t>
  </si>
  <si>
    <t>16.22.29</t>
  </si>
  <si>
    <t>16.22.30</t>
  </si>
  <si>
    <t>16.22.31</t>
  </si>
  <si>
    <t>16.22.32</t>
  </si>
  <si>
    <t>16.22.33</t>
  </si>
  <si>
    <t>Best</t>
  </si>
  <si>
    <t>Supplier</t>
  </si>
  <si>
    <t>O&amp;P%</t>
  </si>
  <si>
    <t>Dry (O)</t>
  </si>
  <si>
    <t>OUTLET
(P)</t>
  </si>
  <si>
    <t>Supply
(Q)</t>
  </si>
  <si>
    <t>Wastage
(R)</t>
  </si>
  <si>
    <t>Install
(S)</t>
  </si>
  <si>
    <t>Access
(T)</t>
  </si>
  <si>
    <t>ملاحظات</t>
  </si>
  <si>
    <t>الموردون</t>
  </si>
  <si>
    <t>Johnson Controls</t>
  </si>
  <si>
    <t>Johnson Controls / Siemens / Honeywell</t>
  </si>
  <si>
    <t>العام</t>
  </si>
  <si>
    <t>لوحات كهربائية</t>
  </si>
  <si>
    <t>Schneider Electric</t>
  </si>
  <si>
    <t>لوحات التوزيع الكهربائية</t>
  </si>
  <si>
    <t xml:space="preserve">الكابلات </t>
  </si>
  <si>
    <t>كابلات تغذية</t>
  </si>
  <si>
    <t>Riyadh Cables</t>
  </si>
  <si>
    <t>Burndy</t>
  </si>
  <si>
    <t>مخارج القوى والأفياش</t>
  </si>
  <si>
    <t>مخارج قوى وأفياش</t>
  </si>
  <si>
    <t>Legrand</t>
  </si>
  <si>
    <t>مفاتيح إنارة</t>
  </si>
  <si>
    <t>Berker</t>
  </si>
  <si>
    <t>نظام الإنارة</t>
  </si>
  <si>
    <t>إنارة داخلية</t>
  </si>
  <si>
    <t>إنارة طوارئ</t>
  </si>
  <si>
    <t>Schneider / ABB / Jung / Siemens</t>
  </si>
  <si>
    <t>كابل تراي</t>
  </si>
  <si>
    <t>كابل تري</t>
  </si>
  <si>
    <t>نظام إنذار الحريق FA</t>
  </si>
  <si>
    <t>Legrand / Urapo</t>
  </si>
  <si>
    <t>Belden</t>
  </si>
  <si>
    <t>Belden / Draka</t>
  </si>
  <si>
    <t>Honeywell</t>
  </si>
  <si>
    <t>Honeywell / Bosch / Hochiki</t>
  </si>
  <si>
    <t>Honeywell / Bosch</t>
  </si>
  <si>
    <t>Honeywell / Bosch / Notifier</t>
  </si>
  <si>
    <t>شركة محلية</t>
  </si>
  <si>
    <t>شركات متخصصة</t>
  </si>
  <si>
    <t>شركة معتمدة</t>
  </si>
  <si>
    <t>شركات معتمدة دفاع مدني</t>
  </si>
  <si>
    <t xml:space="preserve">إنذار حريق </t>
  </si>
  <si>
    <t>Bosch</t>
  </si>
  <si>
    <t>Bosch / TOA / Harman</t>
  </si>
  <si>
    <t>Bosch / TOA</t>
  </si>
  <si>
    <t>Bosch / Sennheiser / Shure</t>
  </si>
  <si>
    <t>نظام PA - إذاعة</t>
  </si>
  <si>
    <t>نظام الإذاعة PA والإخلاء</t>
  </si>
  <si>
    <t>نظام MATV</t>
  </si>
  <si>
    <t>Samsung</t>
  </si>
  <si>
    <t>اللافتات الرقمية</t>
  </si>
  <si>
    <t>نظام اللافتات الرقمية Digital Signage</t>
  </si>
  <si>
    <t>نظام التحكم بالدخول Access Control</t>
  </si>
  <si>
    <t>Ceiling Speaker L-VCP06A/EN 6W EN54</t>
  </si>
  <si>
    <t>عدد</t>
  </si>
  <si>
    <t>Wall Speaker L-VWM06A 6W Metal EN54</t>
  </si>
  <si>
    <t>Horn Speaker L-PHP30A 30/15W</t>
  </si>
  <si>
    <t>Volume Control Switch 60W أبيض</t>
  </si>
  <si>
    <t>MATV Conduit &amp; Accessories</t>
  </si>
  <si>
    <t>م.ط</t>
  </si>
  <si>
    <t>MATV Coaxial Cables</t>
  </si>
  <si>
    <t>RF Splitter 1:8</t>
  </si>
  <si>
    <t>TV Outlet RF</t>
  </si>
  <si>
    <t>Power Supply for Amplifier</t>
  </si>
  <si>
    <t>Samsung 50" Smart Screen</t>
  </si>
  <si>
    <t>Samsung 70" Smart Screen</t>
  </si>
  <si>
    <t>T&amp;C MATV</t>
  </si>
  <si>
    <t>CCTV Conduit &amp; Accessories</t>
  </si>
  <si>
    <t>Dome Camera Fixed IP IP66</t>
  </si>
  <si>
    <t>Bullet Camera Fixed IP IP66</t>
  </si>
  <si>
    <t>Workstation كاملة</t>
  </si>
  <si>
    <t>NVR with License</t>
  </si>
  <si>
    <t>Cabinet CCTV</t>
  </si>
  <si>
    <t>Hard Disk 3 Months Backup</t>
  </si>
  <si>
    <t>Configuration T&amp;C CCTV</t>
  </si>
  <si>
    <t>Clock Points Conduit</t>
  </si>
  <si>
    <t>Clock CAT6A Cables</t>
  </si>
  <si>
    <t>Sapling Single-Side Digital IP Clock POE</t>
  </si>
  <si>
    <t>Double Mount Housing</t>
  </si>
  <si>
    <t>GPS Antenna</t>
  </si>
  <si>
    <t>Digital Signage Conduit</t>
  </si>
  <si>
    <t>Digital Signage CAT6A Cables</t>
  </si>
  <si>
    <t>Waiting Area Samsung 55" Display</t>
  </si>
  <si>
    <t>Bracket 55" Display</t>
  </si>
  <si>
    <t>Operational Display 55" OD</t>
  </si>
  <si>
    <t>Bracket Operational Display</t>
  </si>
  <si>
    <t>Directory Listing Screen 55"</t>
  </si>
  <si>
    <t>Bracket Directory Screen</t>
  </si>
  <si>
    <t>Conduit+Data+Power for Counter Touch 13"</t>
  </si>
  <si>
    <t>Doctor Touch Screen 13"</t>
  </si>
  <si>
    <t>Staff Screen 55"</t>
  </si>
  <si>
    <t>Operational Screen 55"</t>
  </si>
  <si>
    <t>Digital Signage Software Samsung MagicInfo</t>
  </si>
  <si>
    <t>Installation &amp; Configuration DS</t>
  </si>
  <si>
    <t>Nurse Call Conduit &amp; Accessories</t>
  </si>
  <si>
    <t>Nurse Call Cables</t>
  </si>
  <si>
    <t>Nurse Call Equipment Config T&amp;C Clino Phon 99</t>
  </si>
  <si>
    <t>شبكة الهاتف والبيانات T&amp;D</t>
  </si>
  <si>
    <t>Telephone &amp; Data Conduit</t>
  </si>
  <si>
    <t>T&amp;D CAT6A Cables</t>
  </si>
  <si>
    <t>Computer Outlet CAT6A</t>
  </si>
  <si>
    <t>Telephone Outlet RJ11</t>
  </si>
  <si>
    <t>Wireless Access Point</t>
  </si>
  <si>
    <t>Cabinet 47U Floor Standing + مراوح + PDU</t>
  </si>
  <si>
    <t>Cisco UC Phone 7811</t>
  </si>
  <si>
    <t>Catalyst 9300 48-port UPOE Network Advantage</t>
  </si>
  <si>
    <t>24-Port Fiber Optic Patch Panel</t>
  </si>
  <si>
    <t>48-Port CommScope CAT6A Patch Panel</t>
  </si>
  <si>
    <t>Multimode 12-Core Fiber Optic OM3 Outdoor</t>
  </si>
  <si>
    <t>Fiber Patch Cord &amp; Jumpers 1م/2م/3م/5م</t>
  </si>
  <si>
    <t>CommScope CAT6A Patch Cords 1م/3م/5م</t>
  </si>
  <si>
    <t>T&amp;C T&amp;D + Professional Services شامل Fluke+OTDR</t>
  </si>
  <si>
    <t>Queuing Conduit</t>
  </si>
  <si>
    <t>Queuing CAT6A Cables</t>
  </si>
  <si>
    <t>Ticket Dispenser</t>
  </si>
  <si>
    <t>Counter Display Unit</t>
  </si>
  <si>
    <t>Waiting Area Display</t>
  </si>
  <si>
    <t>Keyboard Calling Unit</t>
  </si>
  <si>
    <t>Central Controller Queuing</t>
  </si>
  <si>
    <t>6W Ceiling Speaker + محول Queue</t>
  </si>
  <si>
    <t>Rack + UPS للنظام</t>
  </si>
  <si>
    <t>60" LED Monitor Dashboard</t>
  </si>
  <si>
    <t>Workstation + Licensed Software + BMS</t>
  </si>
  <si>
    <t>T&amp;C Queuing</t>
  </si>
  <si>
    <t>Access Control Conduit</t>
  </si>
  <si>
    <t>Access Control CAT6A Cables</t>
  </si>
  <si>
    <t>Card Reader HID Proximity</t>
  </si>
  <si>
    <t>Exit Push Button</t>
  </si>
  <si>
    <t>4-Door Access Controller</t>
  </si>
  <si>
    <t>Power Supply 240V AC / 12V DC</t>
  </si>
  <si>
    <t>Configuration T&amp;C Access Control</t>
  </si>
  <si>
    <t>Optical Smoke Detector + LED Indicator</t>
  </si>
  <si>
    <t>Addressable Fixed Temp Heat Detector</t>
  </si>
  <si>
    <t>Manual Call Point Weather Proof</t>
  </si>
  <si>
    <t>Protective Cover Pack×10</t>
  </si>
  <si>
    <t>Addressable Sounder + Flasher</t>
  </si>
  <si>
    <t>Sounder + Flasher Weather Proof</t>
  </si>
  <si>
    <t>Monitoring Module MCom</t>
  </si>
  <si>
    <t>Control Module 220V AC</t>
  </si>
  <si>
    <t>Control Module 30V MCom</t>
  </si>
  <si>
    <t>4-Loop Fire Alarm Control Panel Addressable</t>
  </si>
  <si>
    <t>Installation All Field Devices FA</t>
  </si>
  <si>
    <t>T&amp;C FA Integrated with Existing System</t>
  </si>
  <si>
    <t>م</t>
  </si>
  <si>
    <t>رقم
البند</t>
  </si>
  <si>
    <t>وصف البند</t>
  </si>
  <si>
    <t>الكمية</t>
  </si>
  <si>
    <t>الوحدة</t>
  </si>
  <si>
    <t>نوع العلبة</t>
  </si>
  <si>
    <t>سعر العلبة
/وحدة</t>
  </si>
  <si>
    <t>نوع الماسورة</t>
  </si>
  <si>
    <t>طول/وحدة
(م)</t>
  </si>
  <si>
    <t>سعر/م</t>
  </si>
  <si>
    <t>إجمالي
ماسورة/وحدة</t>
  </si>
  <si>
    <t>نوع السلك</t>
  </si>
  <si>
    <t>إجمالي
سلك/وحدة</t>
  </si>
  <si>
    <t>تثبيت
وتوصيل</t>
  </si>
  <si>
    <t>★الوحدة</t>
  </si>
  <si>
    <t>★الإجمالي</t>
  </si>
  <si>
    <t>◄  لوحات التوزيع الكهربائية</t>
  </si>
  <si>
    <t>1</t>
  </si>
  <si>
    <t>لوحة توزيع عادية DB-N4A-1F كاملة المعدات</t>
  </si>
  <si>
    <t>لوحة / كابينة + داخليات</t>
  </si>
  <si>
    <t>تغذية / مسار</t>
  </si>
  <si>
    <t>سلك داخلي / ترقيم</t>
  </si>
  <si>
    <t>2</t>
  </si>
  <si>
    <t>لوحة توزيع عادية DB-N4B-1F</t>
  </si>
  <si>
    <t>3</t>
  </si>
  <si>
    <t>لوحة إنارة DB-LN4-1F</t>
  </si>
  <si>
    <t>4</t>
  </si>
  <si>
    <t>لوحة طوارئ DB-LE4-1F</t>
  </si>
  <si>
    <t>5</t>
  </si>
  <si>
    <t>لوحة توزيع DB-E4-1F</t>
  </si>
  <si>
    <t>6</t>
  </si>
  <si>
    <t>لوحة توزيع DB-U3-1F</t>
  </si>
  <si>
    <t>7</t>
  </si>
  <si>
    <t>لوحة إنارة DB-LU2-1F</t>
  </si>
  <si>
    <t>8</t>
  </si>
  <si>
    <t>لوحة تحكم إنارة KNX LCP4-1F</t>
  </si>
  <si>
    <t>◄  الكابلات والأسلاك</t>
  </si>
  <si>
    <t>9</t>
  </si>
  <si>
    <t>كابل 4C-10مم² CU/XLPE/PVC LS0H 0.6/1.0kV</t>
  </si>
  <si>
    <t>توريد كابل</t>
  </si>
  <si>
    <t>حماية / مسار</t>
  </si>
  <si>
    <t>10</t>
  </si>
  <si>
    <t>كابل 4C-35مم² CU/XLPE/PVC LS0H</t>
  </si>
  <si>
    <t>11</t>
  </si>
  <si>
    <t>كابل 4C-50مم² CU/XLPE/PVC LS0H</t>
  </si>
  <si>
    <t>12</t>
  </si>
  <si>
    <t>كابل أرضي 1C-10مم² أصفر/أخضر</t>
  </si>
  <si>
    <t>13</t>
  </si>
  <si>
    <t>كابل أرضي 1C-16مم²</t>
  </si>
  <si>
    <t>14</t>
  </si>
  <si>
    <t>كابل أرضي 1C-25مم²</t>
  </si>
  <si>
    <t>15</t>
  </si>
  <si>
    <t>Cable Lugs Glands &amp; Terminations</t>
  </si>
  <si>
    <t>◄  مخارج القوى والأفياش</t>
  </si>
  <si>
    <t>16</t>
  </si>
  <si>
    <t>Power Points Conduit+Wire+Box 4مم² شاملة</t>
  </si>
  <si>
    <t>علبة + جهاز</t>
  </si>
  <si>
    <t>ماسورة / ترنك</t>
  </si>
  <si>
    <t>سلك تغذية</t>
  </si>
  <si>
    <t>17</t>
  </si>
  <si>
    <t>مفتاح إنارة أحادي 1G1W</t>
  </si>
  <si>
    <t>18</t>
  </si>
  <si>
    <t>مفتاح إنارة ثنائي 2G1W</t>
  </si>
  <si>
    <t>19</t>
  </si>
  <si>
    <t>Single Socket 13A Berker 1G</t>
  </si>
  <si>
    <t>20</t>
  </si>
  <si>
    <t>Duplex Socket 13A Berker 1G</t>
  </si>
  <si>
    <t>21</t>
  </si>
  <si>
    <t>Industrial Low Voltage Socket 5-pin 30A IP67</t>
  </si>
  <si>
    <t>22</t>
  </si>
  <si>
    <t>Floor Box Recessed 2 Compartments Push Open</t>
  </si>
  <si>
    <t>23</t>
  </si>
  <si>
    <t>Isolator 32A Three Pole + Neutral</t>
  </si>
  <si>
    <t>◄  نظام الإنارة</t>
  </si>
  <si>
    <t>24</t>
  </si>
  <si>
    <t>Lighting Points Conduit+Wire+Box 2.5مم²</t>
  </si>
  <si>
    <t>وحدة / جهاز إنارة</t>
  </si>
  <si>
    <t>EMT / PVC</t>
  </si>
  <si>
    <t>سلك إنارة</t>
  </si>
  <si>
    <t>25</t>
  </si>
  <si>
    <t>Type-L1 Square Downlight 23W IP44 230V</t>
  </si>
  <si>
    <t>26</t>
  </si>
  <si>
    <t>Type-L2 Square Panel Downlight 16W IP44 5000K</t>
  </si>
  <si>
    <t>27</t>
  </si>
  <si>
    <t>Type-L3 Square Spot 5W IP23 3000K</t>
  </si>
  <si>
    <t>28</t>
  </si>
  <si>
    <t>Type-L7 Circular Downlight 10.5W IP45 4000K</t>
  </si>
  <si>
    <t>29</t>
  </si>
  <si>
    <t>Type-L8 Circular Spot 5W 3000K</t>
  </si>
  <si>
    <t>30</t>
  </si>
  <si>
    <t>Type-L11 LED Panel 600×600 28W IP44 5000K</t>
  </si>
  <si>
    <t>31</t>
  </si>
  <si>
    <t>Type-L14B LED Linear 26W 1450مم IP22 4000K</t>
  </si>
  <si>
    <t>32</t>
  </si>
  <si>
    <t>Type-L15 LED Surface 36W مع بطارية احتياطية 6000K</t>
  </si>
  <si>
    <t>33</t>
  </si>
  <si>
    <t>Type-L18 LED Cove Light مخفية 3000K</t>
  </si>
  <si>
    <t>34</t>
  </si>
  <si>
    <t>LED Power Supply IP20 240V/24V للـ L18</t>
  </si>
  <si>
    <t>35</t>
  </si>
  <si>
    <t>زر لمس KNX تحكم إنارة</t>
  </si>
  <si>
    <t>36</t>
  </si>
  <si>
    <t>لافتة مخرج طوارئ LED</t>
  </si>
  <si>
    <t>37</t>
  </si>
  <si>
    <t>نظام KNX كامل برنامج + IP-gateway + لوحات</t>
  </si>
  <si>
    <t>38</t>
  </si>
  <si>
    <t>Cable Ladder 300×100مم</t>
  </si>
  <si>
    <t>تراي / ليدر</t>
  </si>
  <si>
    <t>حاملات / ملحقات</t>
  </si>
  <si>
    <t>تثبيت / ربط</t>
  </si>
  <si>
    <t>39</t>
  </si>
  <si>
    <t>Cable Tray 200×100مم</t>
  </si>
  <si>
    <t>40</t>
  </si>
  <si>
    <t>Cable Tray 300×100مم</t>
  </si>
  <si>
    <t>41</t>
  </si>
  <si>
    <t>Cable Trunking 200×100مم مع غطاء</t>
  </si>
  <si>
    <t>◄  نظام إنذار الحريق FA</t>
  </si>
  <si>
    <t>42</t>
  </si>
  <si>
    <t>Fire Alarm Conduit &amp; Accessories - م.ط</t>
  </si>
  <si>
    <t>جهاز / لوحة FA</t>
  </si>
  <si>
    <t>ماسورة / علب</t>
  </si>
  <si>
    <t>كابل / ربط</t>
  </si>
  <si>
    <t>43</t>
  </si>
  <si>
    <t>Fire Alarm Fire Rated Cables - م.ط</t>
  </si>
  <si>
    <t>44</t>
  </si>
  <si>
    <t>Addressable Smoke Detector</t>
  </si>
  <si>
    <t>45</t>
  </si>
  <si>
    <t>Multi Detector</t>
  </si>
  <si>
    <t>46</t>
  </si>
  <si>
    <t>47</t>
  </si>
  <si>
    <t>48</t>
  </si>
  <si>
    <t>49</t>
  </si>
  <si>
    <t>Monitoring Module</t>
  </si>
  <si>
    <t>50</t>
  </si>
  <si>
    <t>Fire Alarm Control Panel 4 Loops Addressable</t>
  </si>
  <si>
    <t>51</t>
  </si>
  <si>
    <t>Graphical Visualisation Software License 1 Panel</t>
  </si>
  <si>
    <t>52</t>
  </si>
  <si>
    <t>Testing Commissioning &amp; Programming FA</t>
  </si>
  <si>
    <t>53</t>
  </si>
  <si>
    <t>Civil Defence Third Party Supervision</t>
  </si>
  <si>
    <t>الإجمالي الكلي لتكلفة OUTLET</t>
  </si>
  <si>
    <t>◄  نظام الإذاعة PA والإخلاء</t>
  </si>
  <si>
    <t>جهاز / وحدة</t>
  </si>
  <si>
    <t>دكت / مسار</t>
  </si>
  <si>
    <t>توصيل / برمجة</t>
  </si>
  <si>
    <t>◄  نظام MATV</t>
  </si>
  <si>
    <t>◄  نظام CCTV</t>
  </si>
  <si>
    <t>◄  نظام الساعات Master Clock</t>
  </si>
  <si>
    <t>◄  نظام اللافتات الرقمية Digital Signage</t>
  </si>
  <si>
    <t>◄  نظام استدعاء التمريض Nurse Call</t>
  </si>
  <si>
    <t>◄  شبكة الهاتف والبيانات T&amp;D</t>
  </si>
  <si>
    <t>54</t>
  </si>
  <si>
    <t>55</t>
  </si>
  <si>
    <t>56</t>
  </si>
  <si>
    <t>57</t>
  </si>
  <si>
    <t>58</t>
  </si>
  <si>
    <t>59</t>
  </si>
  <si>
    <t>60</t>
  </si>
  <si>
    <t>61</t>
  </si>
  <si>
    <t>62</t>
  </si>
  <si>
    <t>63</t>
  </si>
  <si>
    <t>◄  نظام إدارة الطوابير Queuing</t>
  </si>
  <si>
    <t>64</t>
  </si>
  <si>
    <t>65</t>
  </si>
  <si>
    <t>66</t>
  </si>
  <si>
    <t>67</t>
  </si>
  <si>
    <t>68</t>
  </si>
  <si>
    <t>69</t>
  </si>
  <si>
    <t>70</t>
  </si>
  <si>
    <t>71</t>
  </si>
  <si>
    <t>72</t>
  </si>
  <si>
    <t>73</t>
  </si>
  <si>
    <t>74</t>
  </si>
  <si>
    <t>75</t>
  </si>
  <si>
    <t>◄  نظام التحكم بالدخول Access Control</t>
  </si>
  <si>
    <t>76</t>
  </si>
  <si>
    <t>77</t>
  </si>
  <si>
    <t>78</t>
  </si>
  <si>
    <t>79</t>
  </si>
  <si>
    <t>80</t>
  </si>
  <si>
    <t>81</t>
  </si>
  <si>
    <t>82</t>
  </si>
  <si>
    <t>83</t>
  </si>
  <si>
    <t>84</t>
  </si>
  <si>
    <t>◄  نظام إنذار الحريق (تيار خفيف)</t>
  </si>
  <si>
    <t>85</t>
  </si>
  <si>
    <t>86</t>
  </si>
  <si>
    <t>87</t>
  </si>
  <si>
    <t>88</t>
  </si>
  <si>
    <t>89</t>
  </si>
  <si>
    <t>90</t>
  </si>
  <si>
    <t>91</t>
  </si>
  <si>
    <t>92</t>
  </si>
  <si>
    <t>93</t>
  </si>
  <si>
    <t>94</t>
  </si>
  <si>
    <t>95</t>
  </si>
  <si>
    <t>96</t>
  </si>
  <si>
    <t>97</t>
  </si>
  <si>
    <t>98</t>
  </si>
  <si>
    <t>99</t>
  </si>
  <si>
    <t>100</t>
  </si>
  <si>
    <t>101</t>
  </si>
  <si>
    <t>◄  مرجع أعمال كهربائية</t>
  </si>
  <si>
    <t>◄  مرجع أعمال التيار الخفيف</t>
  </si>
  <si>
    <t>◄  مرجع أعمال ميكانيكية</t>
  </si>
  <si>
    <t>Building Management System BMS - توريد وتركيب وبرمجة</t>
  </si>
  <si>
    <t>الإجمالي الكلي لتكلفة BMS</t>
  </si>
  <si>
    <t>طول/وحدة
(م)2</t>
  </si>
  <si>
    <t>سعر/م3</t>
  </si>
  <si>
    <t>BED HEAD UNIT</t>
  </si>
  <si>
    <t>نظام تحكم بالدخول</t>
  </si>
  <si>
    <t>BMS</t>
  </si>
  <si>
    <t>HID</t>
  </si>
  <si>
    <t>HID / Lenel / Honeywell</t>
  </si>
  <si>
    <t>HID / CDVI</t>
  </si>
  <si>
    <t>HID Global / STANLEY</t>
  </si>
  <si>
    <t>HID / Bosch</t>
  </si>
  <si>
    <t>إنذار حريق - كواشف</t>
  </si>
  <si>
    <t>سويتش رئيسي Layer 3 بقدرة UPOE</t>
  </si>
  <si>
    <t>ضمان وصيانة Cisco SmartNet</t>
  </si>
  <si>
    <t>رخصة برمجية لإدارة الشبكة</t>
  </si>
  <si>
    <t>رخصة 3 سنوات للتحكم الذكي</t>
  </si>
  <si>
    <t>خدمة تتبع وتحليل الشبكة</t>
  </si>
  <si>
    <t>رخصة 3 سنوات للتحليلات</t>
  </si>
  <si>
    <t>مراقبة أداء الشبكة داخلي</t>
  </si>
  <si>
    <t>مراقبة خارجية للشبكة</t>
  </si>
  <si>
    <t>رخصة تشغيل متقدمة</t>
  </si>
  <si>
    <t>نظام تشغيل IOS XE</t>
  </si>
  <si>
    <t>وحدة طاقة رئيسية</t>
  </si>
  <si>
    <t>وحدة طاقة إضافية</t>
  </si>
  <si>
    <t>كابلات طاقة</t>
  </si>
  <si>
    <t>لم يتم اختيار SSD</t>
  </si>
  <si>
    <t>كابل ربط السويتشات</t>
  </si>
  <si>
    <t>كابل طاقة للتكديس</t>
  </si>
  <si>
    <t>وكيل مراقبة مدمج في IOSXE</t>
  </si>
  <si>
    <t>أقدام مطاطية لتثبيت السويتش على الطاولة</t>
  </si>
  <si>
    <t>مسامير تثبيت في الراك</t>
  </si>
  <si>
    <t>منظم كابلات أفقي 1U</t>
  </si>
  <si>
    <t>وحدة توسعة منافذ 10G</t>
  </si>
  <si>
    <t>نظام إعداد تلقائي للأجهزة</t>
  </si>
  <si>
    <t>وحدة توزيع ألياف LC Duplex</t>
  </si>
  <si>
    <t>كابل ألياف ضوئية داخلي/خارجي</t>
  </si>
  <si>
    <t>كابينة سيرفر كاملة</t>
  </si>
  <si>
    <t>رسوم الشحن والتخليص</t>
  </si>
  <si>
    <t>رف كاسيت منزلق للألياف</t>
  </si>
  <si>
    <t>كارتريدج LC مع بيجتيل</t>
  </si>
  <si>
    <t>هاتف مكتبي IP</t>
  </si>
  <si>
    <t>كابينة سيرفر بديلة</t>
  </si>
  <si>
    <t>كابل ألياف ضوئية OM4 خارجي</t>
  </si>
  <si>
    <t>ضمان وصيانة للهاتف</t>
  </si>
  <si>
    <t>تركيب، اختبار، تدريب، توثيق</t>
  </si>
  <si>
    <t>شبكة بيانات - DATA</t>
  </si>
  <si>
    <t>Cisco</t>
  </si>
  <si>
    <t>Systimax</t>
  </si>
  <si>
    <t>FINOSEL</t>
  </si>
  <si>
    <t>Corning</t>
  </si>
  <si>
    <t>Shipping</t>
  </si>
  <si>
    <t>Ceiling-mounted speaker with EN54 compliance</t>
  </si>
  <si>
    <t>Wall-mounted metal loudspeaker</t>
  </si>
  <si>
    <t>Horn loudspeaker for outdoor use</t>
  </si>
  <si>
    <t>Wall-mounted volume control with protection</t>
  </si>
  <si>
    <t>Wireless microphone for audio system</t>
  </si>
  <si>
    <t>System testing and commissioning</t>
  </si>
  <si>
    <t>Complete installation service</t>
  </si>
  <si>
    <t>شاشة عرض 55 بوصة لمنطقة الانتظار</t>
  </si>
  <si>
    <t>حامل تثبيت للشاشة في منطقة الانتظار</t>
  </si>
  <si>
    <t>شاشة تشغيل 55 بوصة للمناطق التشغيلية</t>
  </si>
  <si>
    <t>حامل تثبيت لشاشة التشغيل</t>
  </si>
  <si>
    <t>شاشة عرض دليل الأقسام 55 بوصة</t>
  </si>
  <si>
    <t>حامل تثبيت لشاشة دليل الأقسام</t>
  </si>
  <si>
    <t>تمديد مواسير وسحب كابلات وتركيب فيش بيانات وكهرباء لشاشة الكاونتر 13 بوصة</t>
  </si>
  <si>
    <t>شاشة لمس للطبيب 13 بوصة</t>
  </si>
  <si>
    <t>شاشة عرض 55 بوصة للموظفين</t>
  </si>
  <si>
    <t>حامل تثبيت لشاشة الموظفين</t>
  </si>
  <si>
    <t>شاشة تشغيل 55 بوصة إضافية</t>
  </si>
  <si>
    <t>حامل تثبيت للشاشة التشغيلية</t>
  </si>
  <si>
    <t>برنامج إدارة المحتوى الرقمي للشاشات</t>
  </si>
  <si>
    <t>تكاليف التركيب والتوصيل الكامل للنظام</t>
  </si>
  <si>
    <t>Sapling</t>
  </si>
  <si>
    <t>ساعة رقمية IP بواجهة حائط، عرض أحمر</t>
  </si>
  <si>
    <t>قاعدة تثبيت مزدوجة للساعة</t>
  </si>
  <si>
    <t>برمجة، اختبار وتشغيل النظام</t>
  </si>
  <si>
    <t>رسوم توثيق ومعالجة الطلبات الصغيرة</t>
  </si>
  <si>
    <t>تكاليف التركيب الكامل للنظام</t>
  </si>
  <si>
    <t>شبكة MATV</t>
  </si>
  <si>
    <t xml:space="preserve">◄  كابل تراي </t>
  </si>
  <si>
    <t>No SSD Card Selected</t>
  </si>
  <si>
    <r>
      <t>Main installation supply, installation, testing and commissioning of main electric and sub main distribution panels including the busbar, main breaker, branch breakers(M.C.CBS) metering equipment and all other accessories. The board shall be furnished with current transformers for measurments and protection,</t>
    </r>
    <r>
      <rPr>
        <sz val="12"/>
        <color rgb="FFFF0000"/>
        <rFont val="Calibri"/>
        <family val="2"/>
        <scheme val="minor"/>
      </rPr>
      <t xml:space="preserve"> and microprocessor based network analyzer to meter and analyze at least 3PH </t>
    </r>
    <r>
      <rPr>
        <sz val="12"/>
        <rFont val="Calibri"/>
        <family val="2"/>
        <scheme val="minor"/>
      </rPr>
      <t xml:space="preserve">.current , voltage , KWH , KWHR. power factor, frequency ..etc. All panel boards should be monitored  and lighting panel boards to be monitored and </t>
    </r>
    <r>
      <rPr>
        <sz val="12"/>
        <color rgb="FFFF0000"/>
        <rFont val="Calibri"/>
        <family val="2"/>
        <scheme val="minor"/>
      </rPr>
      <t>controlled by BMS</t>
    </r>
    <r>
      <rPr>
        <sz val="12"/>
        <rFont val="Calibri"/>
        <family val="2"/>
        <scheme val="minor"/>
      </rPr>
      <t>. As specified and/or detailed on the drawings and as per method of measurement and specifications .</t>
    </r>
  </si>
  <si>
    <t xml:space="preserve"> نظام الـ KNX مكلف جداً في الممركبات (Modules) والبرمجة. كابلات الـ Bus غير مغطاة في الـ BOQ</t>
  </si>
  <si>
    <t>اللوحات مطلوب بها بتشمل (Busbar, Main Breaker, Branch Breakers, CTs, Network Analyzer, BMS Integration).</t>
  </si>
  <si>
    <t>(فخ أسطوري): في مشروع بحجم 1126 متر مربع، فيه 327 نقطة قوى و 284 نقطة إنارة (كما بالبند 16.9 و 16.11)، مفيش طريق في الدنيا إن الكابلات دي تطلع أطوالها "مئوية" زي كده بالظبط!</t>
  </si>
  <si>
    <r>
      <t>supply , install, testing and commissioning of socket outlets, switches, exhaust fan points and other power points , included all swiches with indication lamps, push buttons , cables ,wiring, conduits , trunks , boxes and all needed  accessories to complete the work as per bill of quantities , drawings , specifications and engineers instructions and approval and as per method of measurement and specifications .</t>
    </r>
    <r>
      <rPr>
        <sz val="12"/>
        <color rgb="FFFF0000"/>
        <rFont val="Calibri"/>
        <family val="2"/>
        <scheme val="minor"/>
      </rPr>
      <t>wire size 4MM² .</t>
    </r>
    <r>
      <rPr>
        <sz val="12"/>
        <rFont val="Calibri"/>
        <family val="2"/>
        <scheme val="minor"/>
      </rPr>
      <t xml:space="preserve"> </t>
    </r>
  </si>
  <si>
    <t>دي في مستشفيات بتكون مكلفة جداً لأنها Anti-bacterial ومقاومة للماء، وسعرها بيختلف خالص عن الـ Floor Box العادي.</t>
  </si>
  <si>
    <t>KNX System Hardware (Actuators, Power Supplies, Bus Cables)</t>
  </si>
  <si>
    <t>الكابل تراي دي بند لا  يكتمل إلا بـ (Bends, Tees, Reducers, Supports, Fire-Rated Collars).</t>
  </si>
  <si>
    <t>لوحة 4Loops ،  كاشف دخان70، 4 Multi-criteria، 10 Manual Call Points، 10 Sounders. وفي نهاية البند (بند 16.16-12) مكتوب "Civil Defence - Third party Supervision.</t>
  </si>
  <si>
    <t>"Third party Supervision" معناها فلوس الـ Consultant اللي هيختم الرسومات ويشرف على التنفيذ للموافقة للدفاع المدني. لكن موافقة</t>
  </si>
  <si>
    <r>
      <t>Supply, install, testing and commissioning for public address and evacuation system consisting of Main Rack and Zone controller, Racks, digital audio matrix / main controller, amplifier units, Loudspeakers, call stations, volume controls and operation devices including batteries and chargers (for a minimum continuous evacuation period as per the Life Safety designation but not less than 2 hours),</t>
    </r>
    <r>
      <rPr>
        <sz val="12"/>
        <color rgb="FFFF0000"/>
        <rFont val="Calibri"/>
        <family val="2"/>
        <scheme val="minor"/>
      </rPr>
      <t xml:space="preserve"> fire rated fiber and audio cables and wires</t>
    </r>
    <r>
      <rPr>
        <sz val="12"/>
        <rFont val="Calibri"/>
        <family val="2"/>
        <scheme val="minor"/>
      </rPr>
      <t xml:space="preserve">, conduits, supports, and wire connection , interfacing works with other systems </t>
    </r>
    <r>
      <rPr>
        <sz val="12"/>
        <color rgb="FFFF0000"/>
        <rFont val="Calibri"/>
        <family val="2"/>
        <scheme val="minor"/>
      </rPr>
      <t>including Fire Alarm and BMS</t>
    </r>
    <r>
      <rPr>
        <sz val="12"/>
        <rFont val="Calibri"/>
        <family val="2"/>
        <scheme val="minor"/>
      </rPr>
      <t xml:space="preserve">, </t>
    </r>
    <r>
      <rPr>
        <sz val="12"/>
        <color rgb="FFFF0000"/>
        <rFont val="Calibri"/>
        <family val="2"/>
        <scheme val="minor"/>
      </rPr>
      <t xml:space="preserve">Prayer Audio System and Master Clock </t>
    </r>
    <r>
      <rPr>
        <sz val="12"/>
        <rFont val="Calibri"/>
        <family val="2"/>
        <scheme val="minor"/>
      </rPr>
      <t>as shown on drawings and described in specifications SECTION 16770 and as per Civil Defense requirements.</t>
    </r>
  </si>
  <si>
    <t>يشمل NTP Server و GPS Antenna. ملاحظة: الـ IT بتاع المستشفى مش هيخليك توصل NTP Server على شبكتهم بسهولة، ده هيحتاج أمن سيبراني وتصريحات.</t>
  </si>
  <si>
    <t>الوصف واضح إنه لازم يتكامل مع الـ MDF الرئيسي. لو المستشفى بتستخدم Cisco أو Aruba، إنت لازم تشتري من نفس الماركة، وماركات عادية مش هتعمل Integration.</t>
  </si>
  <si>
    <t xml:space="preserve">  </t>
  </si>
  <si>
    <t>شاشة عرض رقمية 55" لمنطقة الانتظار (توريد)</t>
  </si>
  <si>
    <t>حامل/قوس للشاشة 55" لمنطقة الانتظار</t>
  </si>
  <si>
    <t>شاشة عرض تشغيلية 55" (توريد)</t>
  </si>
  <si>
    <t>حامل/قوس لشاشة العرض التشغيلية 55"</t>
  </si>
  <si>
    <t>شاشة دليل/قائمة 55" (توريد)</t>
  </si>
  <si>
    <t>حامل/قوس لشاشة الدليل 55"</t>
  </si>
  <si>
    <t>تمديد مواسير وكابلات سحب بيانات ومقبس طاقة، وتركيب لوحة وجه لمخرج البيانات ومقبس الطاقة لشاشة اللمس COUNTER 13"</t>
  </si>
  <si>
    <t>شاشة لمس للطبيب 13" (توريد)</t>
  </si>
  <si>
    <t>شاشة موظف 55" (توريد)</t>
  </si>
  <si>
    <t>حامل/قوس لشاشة الموظف 55"</t>
  </si>
  <si>
    <t>شاشة تشغيلية 55" (توريد)</t>
  </si>
  <si>
    <t>حامل/قوس للشاشة التشغيلية 55"</t>
  </si>
  <si>
    <t>برنامج نظام العرض الرقمي (ترخيص / سيرفر / CMS)</t>
  </si>
  <si>
    <t>رسوم تركيب نظام العرض الرقمي (قيمة شاملة)</t>
  </si>
  <si>
    <t xml:space="preserve">OUTLET
(P)مخرج الكهربا </t>
  </si>
  <si>
    <r>
      <t xml:space="preserve">supply &amp; install multi-core non-armored and armored cables, </t>
    </r>
    <r>
      <rPr>
        <sz val="12"/>
        <color rgb="FFFF0000"/>
        <rFont val="Calibri"/>
        <family val="2"/>
        <scheme val="minor"/>
      </rPr>
      <t>LS0H 0.6/1.0kv</t>
    </r>
    <r>
      <rPr>
        <sz val="12"/>
        <rFont val="Calibri"/>
        <family val="2"/>
        <scheme val="minor"/>
      </rPr>
      <t>. copper/XLPE/PVC. feeding mechanical&amp; or electrical loads runs in cable trays, above false ceiling or in the shaft or in the condiuts, with all fixing and connecting accessories (</t>
    </r>
    <r>
      <rPr>
        <sz val="12"/>
        <color rgb="FFFF0000"/>
        <rFont val="Calibri"/>
        <family val="2"/>
        <scheme val="minor"/>
      </rPr>
      <t>the glands and lugs copper made</t>
    </r>
    <r>
      <rPr>
        <sz val="12"/>
        <rFont val="Calibri"/>
        <family val="2"/>
        <scheme val="minor"/>
      </rPr>
      <t xml:space="preserve">), as detailed in technical specifications and shown on drawing and as per method of measurement and specifications .
</t>
    </r>
  </si>
  <si>
    <t xml:space="preserve">Schneider </t>
  </si>
  <si>
    <t xml:space="preserve">Legrand </t>
  </si>
  <si>
    <t>علبة بلاستيك</t>
  </si>
  <si>
    <t>علبة أرضية معدنية مع غطاء مفصلي</t>
  </si>
  <si>
    <t>كابل تغذية</t>
  </si>
  <si>
    <t>mk</t>
  </si>
  <si>
    <t>16.1-1</t>
  </si>
  <si>
    <r>
      <t xml:space="preserve">supply, install &amp;connect, complete indoor and outdoor lighting points including , conduits boxes , wires , impulse relay swiches or swich panels and all other accessories from the appropriate bistribution board to the point as specified and/or detailed on the drawings and as per method of measurement and specifications  . with wire </t>
    </r>
    <r>
      <rPr>
        <sz val="12"/>
        <color rgb="FFFF0000"/>
        <rFont val="Calibri"/>
        <family val="2"/>
        <scheme val="minor"/>
      </rPr>
      <t xml:space="preserve">size 2.5MM² </t>
    </r>
    <r>
      <rPr>
        <sz val="12"/>
        <rFont val="Calibri"/>
        <family val="2"/>
        <scheme val="minor"/>
      </rPr>
      <t xml:space="preserve">.
</t>
    </r>
  </si>
  <si>
    <t>siera</t>
  </si>
  <si>
    <t xml:space="preserve"> PVC</t>
  </si>
  <si>
    <t>16.15.5</t>
  </si>
  <si>
    <t>16.15.6</t>
  </si>
  <si>
    <t xml:space="preserve">300x100mm cable trunk with Cover  </t>
  </si>
  <si>
    <t xml:space="preserve">500x100mm cable trunk with Cover  </t>
  </si>
  <si>
    <t xml:space="preserve">نهايات </t>
  </si>
  <si>
    <t>Fire Rated Cables</t>
  </si>
  <si>
    <t>سعر/م.ط</t>
  </si>
  <si>
    <t>طول/وحدة
(م.ط</t>
  </si>
  <si>
    <r>
      <rPr>
        <sz val="10"/>
        <color theme="4" tint="-0.249977111117893"/>
        <rFont val="Calibri"/>
        <family val="2"/>
        <scheme val="minor"/>
      </rPr>
      <t>(Zone Controller+Amplifier Units+Digital Audio Matrix / Main Controller+Call Stations+Main Rack for Public Address &amp; Evacuation Systemفي الوصف( إنه لازم ي interfaced مع (Fire Alarm, BMS, Prayer Audio, Master Clock)</t>
    </r>
    <r>
      <rPr>
        <sz val="10"/>
        <color rgb="FFFF0000"/>
        <rFont val="Calibri"/>
        <family val="2"/>
        <scheme val="minor"/>
      </rPr>
      <t>. الـ Integration بتاع المستشفيات بيحتاج برمجة مكلفة من الـ Vendor. سعر الـ LS بتاعك لازم يشمل الـ Hardware والـ Software والـ Integration والـ Programming.</t>
    </r>
  </si>
  <si>
    <t>FINOSEL-Bosch-TOA-Exide / Trojan-MESK</t>
  </si>
  <si>
    <r>
      <t xml:space="preserve">notes : </t>
    </r>
    <r>
      <rPr>
        <sz val="12"/>
        <color rgb="FFC00000"/>
        <rFont val="Calibri"/>
        <family val="2"/>
        <scheme val="minor"/>
      </rPr>
      <t xml:space="preserve">all materials  shall  be fire rated </t>
    </r>
  </si>
  <si>
    <r>
      <t xml:space="preserve">Supply  install and test   and commission public adress  &amp; evacutaion system  include loud speaker pionts , verification of the desin box , conduit , 2x2.5mm2 cables from each piont to voice   rack  and all needed  accessories  tto complte  the work as per  Boq  and drawings  , specifications  , </t>
    </r>
    <r>
      <rPr>
        <sz val="12"/>
        <color rgb="FFC00000"/>
        <rFont val="Calibri"/>
        <family val="2"/>
        <scheme val="minor"/>
      </rPr>
      <t xml:space="preserve">civill defence department  requirment </t>
    </r>
  </si>
  <si>
    <t>EMT</t>
  </si>
  <si>
    <t xml:space="preserve">EMT </t>
  </si>
  <si>
    <t xml:space="preserve">2x2.5mm2 cables </t>
  </si>
  <si>
    <t xml:space="preserve"> ساعة رقمية صناعية/حائطية بحجم عرض تجاري (سوق السعودية 2026).</t>
  </si>
  <si>
    <t xml:space="preserve">ساعة رقمية مزدوجة الوجه </t>
  </si>
  <si>
    <t>CAT6A</t>
  </si>
  <si>
    <t>أنتين توقيت/GPS تجاري مناسب لأنظمة التزامن؛</t>
  </si>
  <si>
    <t>System Integrator</t>
  </si>
  <si>
    <t>Dell</t>
  </si>
  <si>
    <t>Peerless-AV</t>
  </si>
  <si>
    <t>Scala / Samsung MagicINFO</t>
  </si>
  <si>
    <t>MASTER CLOCK SYSTEM</t>
  </si>
  <si>
    <t>نظام Nurse Call System</t>
  </si>
  <si>
    <t>نظام  CCTV SYSTEM</t>
  </si>
  <si>
    <t>نظام Digital Signage</t>
  </si>
  <si>
    <t>نظام NURSE CALL SYSTEM</t>
  </si>
  <si>
    <t>نظام  TELEPHONE &amp; DATA SYSTEM</t>
  </si>
  <si>
    <t>نظام  QUEING MANAGEMENT SYSTEM</t>
  </si>
  <si>
    <t>Generic / Local</t>
  </si>
  <si>
    <t>Generic</t>
  </si>
  <si>
    <t xml:space="preserve">نظام SECURITY / CCTV SYSTEM </t>
  </si>
  <si>
    <t>Hikvision / Dahua</t>
  </si>
  <si>
    <t>Dell / HP</t>
  </si>
  <si>
    <t>FINOSEL / Generic</t>
  </si>
  <si>
    <t>Seagate / WD</t>
  </si>
  <si>
    <t>Peerless-AV / Generic</t>
  </si>
  <si>
    <t>Commscope / Legrand</t>
  </si>
  <si>
    <t>Legrand / Commscope</t>
  </si>
  <si>
    <t>Legrand / Generic</t>
  </si>
  <si>
    <t>Cisco / Aruba</t>
  </si>
  <si>
    <t>Cisco / Generic</t>
  </si>
  <si>
    <t>Commscope / Generic</t>
  </si>
  <si>
    <t>Commscope</t>
  </si>
  <si>
    <t>Commscope / Corning</t>
  </si>
  <si>
    <t>Oscar / Generic</t>
  </si>
  <si>
    <t>TOA / Bosch</t>
  </si>
  <si>
    <t>Samsung / LG</t>
  </si>
  <si>
    <t>HID / ZKTeco</t>
  </si>
  <si>
    <t>Generic / ZKTeco</t>
  </si>
  <si>
    <t>ZKTeco / HID</t>
  </si>
  <si>
    <t>ZKTeco / ASSA ABLOY</t>
  </si>
  <si>
    <t>Clino / Generic</t>
  </si>
  <si>
    <t>ASSA ABLOY</t>
  </si>
  <si>
    <t>Adams Rite / ASSA ABLOY</t>
  </si>
  <si>
    <t>HID / Honeywell</t>
  </si>
  <si>
    <t>HID / Generic</t>
  </si>
  <si>
    <t>كابل ترنك</t>
  </si>
  <si>
    <t>Johnson Controls / Zettler</t>
  </si>
  <si>
    <t>Honeywell Notifier</t>
  </si>
  <si>
    <t>Siemens Cerberus</t>
  </si>
  <si>
    <t>Bosch Fire</t>
  </si>
  <si>
    <t>Generic / OEM</t>
  </si>
  <si>
    <r>
      <t xml:space="preserve">Bed Head Units </t>
    </r>
    <r>
      <rPr>
        <sz val="11"/>
        <color rgb="FF00B050"/>
        <rFont val="Calibri"/>
        <family val="2"/>
        <scheme val="minor"/>
      </rPr>
      <t xml:space="preserve">length 1500 mm </t>
    </r>
    <r>
      <rPr>
        <sz val="11"/>
        <color rgb="FFFF0000"/>
        <rFont val="Calibri"/>
        <family val="2"/>
        <scheme val="minor"/>
      </rPr>
      <t>( BHU out of scope, rate includes first and second fix only</t>
    </r>
    <r>
      <rPr>
        <sz val="11"/>
        <rFont val="Calibri"/>
        <family val="2"/>
        <scheme val="minor"/>
      </rPr>
      <t>) 100%</t>
    </r>
  </si>
  <si>
    <t>Low Current-missing</t>
  </si>
  <si>
    <t xml:space="preserve">نهايات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</si>
</sst>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_-* #,##0.00_-;_-* #,##0.00\-;_-* &quot;-&quot;??_-;_-@_-"/>
    <numFmt numFmtId="166" formatCode="_(* #,##0_);_(* \(#,##0\);_(* &quot;-&quot;??_);_(@_)"/>
    <numFmt numFmtId="167" formatCode="0.0"/>
    <numFmt numFmtId="168" formatCode="0.0%"/>
    <numFmt numFmtId="169" formatCode="#,##0.000"/>
    <numFmt numFmtId="170" formatCode="[$SAR]\ #,##0"/>
  </numFmts>
  <fonts count="48" x14ac:knownFonts="1">
    <font>
      <sz val="11"/>
      <color theme="1"/>
      <name val="Calibri"/>
      <family val="2"/>
      <scheme val="minor"/>
    </font>
    <font>
      <sz val="11"/>
      <color theme="1"/>
      <name val="Calibri"/>
      <family val="2"/>
      <scheme val="minor"/>
    </font>
    <font>
      <sz val="10"/>
      <name val="Arial"/>
      <family val="2"/>
    </font>
    <font>
      <sz val="10"/>
      <name val="Arial"/>
      <family val="2"/>
    </font>
    <font>
      <sz val="12"/>
      <name val="Times New Roman"/>
      <family val="1"/>
    </font>
    <font>
      <sz val="12"/>
      <name val="Arial"/>
      <family val="2"/>
    </font>
    <font>
      <b/>
      <u/>
      <sz val="12"/>
      <name val="Arial"/>
      <family val="2"/>
    </font>
    <font>
      <sz val="12"/>
      <color theme="1"/>
      <name val="Arial"/>
      <family val="2"/>
    </font>
    <font>
      <sz val="10"/>
      <name val="Traditional Arabic"/>
      <family val="1"/>
    </font>
    <font>
      <sz val="11"/>
      <color rgb="FF000000"/>
      <name val="Calibri"/>
      <family val="2"/>
    </font>
    <font>
      <sz val="8"/>
      <name val="Calibri"/>
      <family val="2"/>
      <scheme val="minor"/>
    </font>
    <font>
      <sz val="10"/>
      <name val="Arial"/>
      <family val="2"/>
    </font>
    <font>
      <sz val="10"/>
      <name val="Calibri"/>
      <family val="2"/>
      <scheme val="minor"/>
    </font>
    <font>
      <sz val="11"/>
      <name val="Calibri"/>
      <family val="2"/>
      <scheme val="minor"/>
    </font>
    <font>
      <b/>
      <sz val="11"/>
      <name val="Calibri"/>
      <family val="2"/>
      <scheme val="minor"/>
    </font>
    <font>
      <b/>
      <sz val="12"/>
      <name val="Calibri"/>
      <family val="2"/>
      <scheme val="minor"/>
    </font>
    <font>
      <sz val="12"/>
      <name val="Calibri"/>
      <family val="2"/>
      <scheme val="minor"/>
    </font>
    <font>
      <sz val="12"/>
      <color theme="1"/>
      <name val="Calibri"/>
      <family val="2"/>
      <scheme val="minor"/>
    </font>
    <font>
      <b/>
      <sz val="18"/>
      <name val="Calibri"/>
      <family val="2"/>
      <scheme val="minor"/>
    </font>
    <font>
      <b/>
      <u/>
      <sz val="11"/>
      <name val="Calibri"/>
      <family val="2"/>
      <scheme val="minor"/>
    </font>
    <font>
      <b/>
      <sz val="12"/>
      <color theme="1"/>
      <name val="Calibri"/>
      <family val="2"/>
      <scheme val="minor"/>
    </font>
    <font>
      <b/>
      <u/>
      <sz val="12"/>
      <name val="Calibri"/>
      <family val="2"/>
      <scheme val="minor"/>
    </font>
    <font>
      <sz val="12"/>
      <color rgb="FFFF0000"/>
      <name val="Calibri"/>
      <family val="2"/>
      <scheme val="minor"/>
    </font>
    <font>
      <sz val="12"/>
      <color rgb="FF000000"/>
      <name val="Calibri"/>
      <family val="2"/>
      <scheme val="minor"/>
    </font>
    <font>
      <b/>
      <sz val="16"/>
      <name val="Calibri"/>
      <family val="2"/>
      <scheme val="minor"/>
    </font>
    <font>
      <sz val="10"/>
      <color indexed="14"/>
      <name val="Calibri"/>
      <family val="2"/>
      <scheme val="minor"/>
    </font>
    <font>
      <sz val="10"/>
      <color rgb="FFFF0000"/>
      <name val="Calibri"/>
      <family val="2"/>
      <scheme val="minor"/>
    </font>
    <font>
      <sz val="12"/>
      <color theme="1"/>
      <name val="Calibri"/>
      <family val="2"/>
    </font>
    <font>
      <b/>
      <sz val="9"/>
      <color rgb="FFFFFFFF"/>
      <name val="Arial"/>
      <family val="2"/>
    </font>
    <font>
      <sz val="9"/>
      <name val="Arial"/>
      <family val="2"/>
    </font>
    <font>
      <sz val="11"/>
      <color theme="1"/>
      <name val="Calibri"/>
      <family val="2"/>
      <charset val="1"/>
    </font>
    <font>
      <sz val="11"/>
      <color rgb="FFFF0000"/>
      <name val="Calibri"/>
      <family val="2"/>
      <scheme val="minor"/>
    </font>
    <font>
      <b/>
      <sz val="11"/>
      <color rgb="FFFFFFFF"/>
      <name val="Arial"/>
      <family val="2"/>
    </font>
    <font>
      <sz val="11"/>
      <color rgb="FF000000"/>
      <name val="Arial"/>
      <family val="2"/>
    </font>
    <font>
      <b/>
      <sz val="11"/>
      <color rgb="FF000000"/>
      <name val="Arial"/>
      <family val="2"/>
    </font>
    <font>
      <b/>
      <sz val="11"/>
      <color rgb="FF7B241C"/>
      <name val="Arial"/>
      <family val="2"/>
    </font>
    <font>
      <sz val="16"/>
      <name val="Calibri"/>
      <family val="2"/>
      <scheme val="minor"/>
    </font>
    <font>
      <sz val="14"/>
      <name val="Calibri"/>
      <family val="2"/>
      <scheme val="minor"/>
    </font>
    <font>
      <b/>
      <sz val="11"/>
      <color theme="0"/>
      <name val="Arial"/>
      <family val="2"/>
    </font>
    <font>
      <sz val="9"/>
      <color rgb="FFFF0000"/>
      <name val="Arial"/>
      <family val="2"/>
    </font>
    <font>
      <b/>
      <sz val="9"/>
      <color rgb="FFFF0000"/>
      <name val="Arial"/>
      <family val="2"/>
    </font>
    <font>
      <sz val="9"/>
      <color rgb="FF000000"/>
      <name val="Arial"/>
      <family val="2"/>
    </font>
    <font>
      <sz val="10"/>
      <color theme="4" tint="-0.249977111117893"/>
      <name val="Calibri"/>
      <family val="2"/>
      <scheme val="minor"/>
    </font>
    <font>
      <sz val="12"/>
      <color rgb="FFC00000"/>
      <name val="Calibri"/>
      <family val="2"/>
      <scheme val="minor"/>
    </font>
    <font>
      <sz val="12"/>
      <color theme="0"/>
      <name val="Calibri"/>
      <family val="2"/>
      <scheme val="minor"/>
    </font>
    <font>
      <b/>
      <sz val="12"/>
      <color theme="0"/>
      <name val="Calibri"/>
      <family val="2"/>
      <scheme val="minor"/>
    </font>
    <font>
      <sz val="11"/>
      <color rgb="FF00B050"/>
      <name val="Calibri"/>
      <family val="2"/>
      <scheme val="minor"/>
    </font>
    <font>
      <b/>
      <sz val="11"/>
      <color rgb="FFFF0000"/>
      <name val="Calibri"/>
      <family val="2"/>
      <scheme val="minor"/>
    </font>
  </fonts>
  <fills count="22">
    <fill>
      <patternFill patternType="none"/>
    </fill>
    <fill>
      <patternFill patternType="gray125"/>
    </fill>
    <fill>
      <patternFill patternType="solid">
        <fgColor theme="5" tint="0.79998168889431442"/>
        <bgColor indexed="64"/>
      </patternFill>
    </fill>
    <fill>
      <patternFill patternType="solid">
        <fgColor rgb="FF145A32"/>
        <bgColor rgb="FF2C3E50"/>
      </patternFill>
    </fill>
    <fill>
      <patternFill patternType="solid">
        <fgColor rgb="FFD5F5E3"/>
        <bgColor rgb="FFD6EAF8"/>
      </patternFill>
    </fill>
    <fill>
      <patternFill patternType="solid">
        <fgColor rgb="FFFFF9C4"/>
        <bgColor rgb="FFFFF3CD"/>
      </patternFill>
    </fill>
    <fill>
      <patternFill patternType="solid">
        <fgColor rgb="FFE8F8F5"/>
        <bgColor rgb="FFEBF5FB"/>
      </patternFill>
    </fill>
    <fill>
      <patternFill patternType="solid">
        <fgColor rgb="FFEBF5FB"/>
        <bgColor rgb="FFEAF2F8"/>
      </patternFill>
    </fill>
    <fill>
      <patternFill patternType="solid">
        <fgColor rgb="FFFFFF00"/>
        <bgColor indexed="64"/>
      </patternFill>
    </fill>
    <fill>
      <patternFill patternType="solid">
        <fgColor rgb="FF4A235A"/>
        <bgColor rgb="FF2C3E50"/>
      </patternFill>
    </fill>
    <fill>
      <patternFill patternType="solid">
        <fgColor rgb="FFE8DAEF"/>
        <bgColor rgb="FFFADBD8"/>
      </patternFill>
    </fill>
    <fill>
      <patternFill patternType="solid">
        <fgColor rgb="FF784212"/>
        <bgColor rgb="FF555555"/>
      </patternFill>
    </fill>
    <fill>
      <patternFill patternType="solid">
        <fgColor rgb="FFFAE5D3"/>
        <bgColor rgb="FFFADBD8"/>
      </patternFill>
    </fill>
    <fill>
      <patternFill patternType="solid">
        <fgColor rgb="FF1B2631"/>
      </patternFill>
    </fill>
    <fill>
      <patternFill patternType="solid">
        <fgColor rgb="FF1A5276"/>
      </patternFill>
    </fill>
    <fill>
      <patternFill patternType="solid">
        <fgColor rgb="FFD6EAF8"/>
      </patternFill>
    </fill>
    <fill>
      <patternFill patternType="solid">
        <fgColor rgb="FFFFF9C4"/>
      </patternFill>
    </fill>
    <fill>
      <patternFill patternType="solid">
        <fgColor rgb="FFEBF5FB"/>
      </patternFill>
    </fill>
    <fill>
      <patternFill patternType="solid">
        <fgColor rgb="FFFDEDEC"/>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s>
  <borders count="68">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double">
        <color indexed="8"/>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style="thin">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8"/>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top style="thin">
        <color indexed="8"/>
      </top>
      <bottom style="double">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style="hair">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double">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medium">
        <color indexed="64"/>
      </left>
      <right/>
      <top style="thin">
        <color indexed="8"/>
      </top>
      <bottom style="double">
        <color indexed="8"/>
      </bottom>
      <diagonal/>
    </border>
    <border>
      <left/>
      <right style="medium">
        <color indexed="64"/>
      </right>
      <top style="thin">
        <color indexed="8"/>
      </top>
      <bottom style="double">
        <color indexed="8"/>
      </bottom>
      <diagonal/>
    </border>
    <border>
      <left style="medium">
        <color indexed="64"/>
      </left>
      <right style="thin">
        <color auto="1"/>
      </right>
      <top style="double">
        <color indexed="8"/>
      </top>
      <bottom style="thin">
        <color indexed="64"/>
      </bottom>
      <diagonal/>
    </border>
    <border>
      <left style="thin">
        <color indexed="64"/>
      </left>
      <right style="medium">
        <color indexed="64"/>
      </right>
      <top style="double">
        <color indexed="8"/>
      </top>
      <bottom style="thin">
        <color indexed="64"/>
      </bottom>
      <diagonal/>
    </border>
    <border>
      <left style="medium">
        <color indexed="64"/>
      </left>
      <right style="thin">
        <color indexed="8"/>
      </right>
      <top style="hair">
        <color indexed="8"/>
      </top>
      <bottom style="hair">
        <color indexed="8"/>
      </bottom>
      <diagonal/>
    </border>
    <border>
      <left style="thin">
        <color indexed="8"/>
      </left>
      <right style="medium">
        <color indexed="64"/>
      </right>
      <top style="hair">
        <color indexed="8"/>
      </top>
      <bottom style="hair">
        <color indexed="8"/>
      </bottom>
      <diagonal/>
    </border>
    <border>
      <left style="medium">
        <color indexed="64"/>
      </left>
      <right style="thin">
        <color indexed="8"/>
      </right>
      <top style="hair">
        <color indexed="8"/>
      </top>
      <bottom style="medium">
        <color indexed="64"/>
      </bottom>
      <diagonal/>
    </border>
    <border>
      <left style="thin">
        <color indexed="8"/>
      </left>
      <right style="thin">
        <color indexed="8"/>
      </right>
      <top style="hair">
        <color indexed="8"/>
      </top>
      <bottom style="medium">
        <color indexed="64"/>
      </bottom>
      <diagonal/>
    </border>
    <border>
      <left style="thin">
        <color indexed="8"/>
      </left>
      <right style="medium">
        <color indexed="64"/>
      </right>
      <top style="hair">
        <color indexed="8"/>
      </top>
      <bottom style="medium">
        <color indexed="64"/>
      </bottom>
      <diagonal/>
    </border>
    <border>
      <left style="medium">
        <color indexed="64"/>
      </left>
      <right/>
      <top style="thin">
        <color indexed="8"/>
      </top>
      <bottom/>
      <diagonal/>
    </border>
    <border>
      <left/>
      <right style="medium">
        <color indexed="64"/>
      </right>
      <top style="thin">
        <color indexed="8"/>
      </top>
      <bottom/>
      <diagonal/>
    </border>
    <border>
      <left style="thin">
        <color rgb="FF000000"/>
      </left>
      <right style="thin">
        <color rgb="FF000000"/>
      </right>
      <top/>
      <bottom style="hair">
        <color rgb="FF000000"/>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8"/>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bottom style="hair">
        <color indexed="8"/>
      </bottom>
      <diagonal/>
    </border>
    <border>
      <left style="medium">
        <color indexed="64"/>
      </left>
      <right style="thin">
        <color indexed="64"/>
      </right>
      <top style="hair">
        <color indexed="8"/>
      </top>
      <bottom style="hair">
        <color indexed="8"/>
      </bottom>
      <diagonal/>
    </border>
    <border>
      <left style="medium">
        <color indexed="64"/>
      </left>
      <right style="thin">
        <color indexed="64"/>
      </right>
      <top style="hair">
        <color indexed="8"/>
      </top>
      <bottom style="medium">
        <color indexed="8"/>
      </bottom>
      <diagonal/>
    </border>
    <border>
      <left style="medium">
        <color indexed="64"/>
      </left>
      <right style="double">
        <color indexed="64"/>
      </right>
      <top style="medium">
        <color indexed="8"/>
      </top>
      <bottom style="medium">
        <color indexed="64"/>
      </bottom>
      <diagonal/>
    </border>
    <border>
      <left style="double">
        <color indexed="64"/>
      </left>
      <right style="double">
        <color indexed="64"/>
      </right>
      <top style="medium">
        <color indexed="8"/>
      </top>
      <bottom style="medium">
        <color indexed="64"/>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double">
        <color indexed="8"/>
      </top>
      <bottom/>
      <diagonal/>
    </border>
    <border>
      <left style="medium">
        <color indexed="64"/>
      </left>
      <right style="thin">
        <color auto="1"/>
      </right>
      <top style="double">
        <color indexed="8"/>
      </top>
      <bottom/>
      <diagonal/>
    </border>
    <border>
      <left style="thin">
        <color indexed="64"/>
      </left>
      <right style="medium">
        <color indexed="64"/>
      </right>
      <top style="double">
        <color indexed="8"/>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style="thin">
        <color rgb="FFCCCCCC"/>
      </left>
      <right/>
      <top/>
      <bottom style="thin">
        <color rgb="FFCCCCCC"/>
      </bottom>
      <diagonal/>
    </border>
    <border>
      <left/>
      <right/>
      <top/>
      <bottom style="thin">
        <color rgb="FFCCCCCC"/>
      </bottom>
      <diagonal/>
    </border>
    <border>
      <left style="thin">
        <color indexed="64"/>
      </left>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rgb="FFCCCCCC"/>
      </left>
      <right style="thin">
        <color rgb="FFCCCCCC"/>
      </right>
      <top style="thin">
        <color rgb="FFCCCCCC"/>
      </top>
      <bottom/>
      <diagonal/>
    </border>
    <border>
      <left/>
      <right style="hair">
        <color indexed="64"/>
      </right>
      <top style="hair">
        <color indexed="64"/>
      </top>
      <bottom style="hair">
        <color indexed="64"/>
      </bottom>
      <diagonal/>
    </border>
    <border>
      <left style="double">
        <color indexed="64"/>
      </left>
      <right style="medium">
        <color indexed="64"/>
      </right>
      <top style="double">
        <color indexed="64"/>
      </top>
      <bottom/>
      <diagonal/>
    </border>
    <border>
      <left style="double">
        <color indexed="64"/>
      </left>
      <right/>
      <top/>
      <bottom style="medium">
        <color indexed="64"/>
      </bottom>
      <diagonal/>
    </border>
    <border>
      <left style="thin">
        <color indexed="64"/>
      </left>
      <right style="thin">
        <color indexed="64"/>
      </right>
      <top style="thin">
        <color indexed="64"/>
      </top>
      <bottom style="hair">
        <color indexed="8"/>
      </bottom>
      <diagonal/>
    </border>
    <border>
      <left style="thin">
        <color indexed="64"/>
      </left>
      <right style="thin">
        <color indexed="64"/>
      </right>
      <top style="hair">
        <color indexed="8"/>
      </top>
      <bottom style="thin">
        <color indexed="64"/>
      </bottom>
      <diagonal/>
    </border>
    <border>
      <left style="thin">
        <color rgb="FF7F8C8D"/>
      </left>
      <right style="thin">
        <color rgb="FF7F8C8D"/>
      </right>
      <top style="thin">
        <color rgb="FF7F8C8D"/>
      </top>
      <bottom style="thin">
        <color rgb="FF7F8C8D"/>
      </bottom>
      <diagonal/>
    </border>
    <border>
      <left style="thin">
        <color rgb="FF7F8C8D"/>
      </left>
      <right style="thin">
        <color rgb="FF7F8C8D"/>
      </right>
      <top/>
      <bottom style="thin">
        <color rgb="FF7F8C8D"/>
      </bottom>
      <diagonal/>
    </border>
    <border>
      <left style="thin">
        <color rgb="FF7F8C8D"/>
      </left>
      <right style="thin">
        <color rgb="FF7F8C8D"/>
      </right>
      <top style="thin">
        <color rgb="FF7F8C8D"/>
      </top>
      <bottom/>
      <diagonal/>
    </border>
  </borders>
  <cellStyleXfs count="40">
    <xf numFmtId="0" fontId="0" fillId="0" borderId="0"/>
    <xf numFmtId="9" fontId="1" fillId="0" borderId="0" applyFont="0" applyFill="0" applyBorder="0" applyAlignment="0" applyProtection="0"/>
    <xf numFmtId="0" fontId="2" fillId="0" borderId="0"/>
    <xf numFmtId="165" fontId="1" fillId="0" borderId="0" applyFont="0" applyFill="0" applyBorder="0" applyAlignment="0" applyProtection="0"/>
    <xf numFmtId="0" fontId="2" fillId="0" borderId="0"/>
    <xf numFmtId="0" fontId="2" fillId="0" borderId="0"/>
    <xf numFmtId="0" fontId="2" fillId="0" borderId="0"/>
    <xf numFmtId="0" fontId="3" fillId="0" borderId="0"/>
    <xf numFmtId="43" fontId="1" fillId="0" borderId="0" applyFont="0" applyFill="0" applyBorder="0" applyAlignment="0" applyProtection="0"/>
    <xf numFmtId="43" fontId="3" fillId="0" borderId="0" applyFont="0" applyFill="0" applyBorder="0" applyAlignment="0" applyProtection="0"/>
    <xf numFmtId="0" fontId="2" fillId="0" borderId="0"/>
    <xf numFmtId="164" fontId="2" fillId="0" borderId="0" applyFont="0" applyFill="0" applyBorder="0" applyAlignment="0" applyProtection="0"/>
    <xf numFmtId="9" fontId="4" fillId="0" borderId="0" applyFont="0" applyFill="0" applyBorder="0" applyAlignment="0" applyProtection="0"/>
    <xf numFmtId="0" fontId="1" fillId="0" borderId="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0" fontId="2" fillId="0" borderId="0"/>
    <xf numFmtId="43" fontId="4" fillId="0" borderId="0" applyFont="0" applyFill="0" applyBorder="0" applyAlignment="0" applyProtection="0"/>
    <xf numFmtId="0" fontId="2" fillId="0" borderId="0"/>
    <xf numFmtId="0" fontId="4" fillId="0" borderId="0"/>
    <xf numFmtId="0" fontId="2" fillId="0" borderId="0"/>
    <xf numFmtId="0" fontId="8" fillId="0" borderId="0"/>
    <xf numFmtId="0" fontId="2" fillId="0" borderId="0"/>
    <xf numFmtId="0" fontId="9" fillId="0" borderId="0"/>
    <xf numFmtId="43" fontId="9" fillId="0" borderId="0" applyFont="0" applyFill="0" applyBorder="0" applyAlignment="0" applyProtection="0"/>
    <xf numFmtId="0" fontId="2" fillId="0" borderId="0"/>
    <xf numFmtId="0" fontId="1" fillId="0" borderId="0"/>
    <xf numFmtId="0" fontId="2" fillId="0" borderId="0"/>
    <xf numFmtId="9" fontId="2" fillId="0" borderId="0" applyFont="0" applyFill="0" applyBorder="0" applyAlignment="0" applyProtection="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0" fontId="11" fillId="0" borderId="0"/>
    <xf numFmtId="0" fontId="2" fillId="0" borderId="0"/>
    <xf numFmtId="0" fontId="30" fillId="0" borderId="0"/>
    <xf numFmtId="43" fontId="1" fillId="0" borderId="0" applyFont="0" applyFill="0" applyBorder="0" applyAlignment="0" applyProtection="0"/>
  </cellStyleXfs>
  <cellXfs count="307">
    <xf numFmtId="0" fontId="0" fillId="0" borderId="0" xfId="0"/>
    <xf numFmtId="166" fontId="0" fillId="0" borderId="0" xfId="14" applyNumberFormat="1" applyFont="1" applyFill="1" applyAlignment="1">
      <alignment vertical="center"/>
    </xf>
    <xf numFmtId="43" fontId="7" fillId="0" borderId="1" xfId="17" applyFont="1" applyFill="1" applyBorder="1" applyAlignment="1" applyProtection="1">
      <alignment horizontal="center" vertical="center" wrapText="1" readingOrder="1"/>
    </xf>
    <xf numFmtId="0" fontId="6" fillId="0" borderId="1" xfId="13" applyFont="1" applyBorder="1" applyAlignment="1">
      <alignment horizontal="left" wrapText="1"/>
    </xf>
    <xf numFmtId="0" fontId="5" fillId="0" borderId="1" xfId="13" applyFont="1" applyBorder="1" applyAlignment="1">
      <alignment horizontal="center" vertical="center" wrapText="1"/>
    </xf>
    <xf numFmtId="0" fontId="5" fillId="0" borderId="8" xfId="13" applyFont="1" applyBorder="1" applyAlignment="1">
      <alignment horizontal="left" vertical="justify" wrapText="1"/>
    </xf>
    <xf numFmtId="0" fontId="5" fillId="0" borderId="8" xfId="13" applyFont="1" applyBorder="1" applyAlignment="1">
      <alignment horizontal="center" vertical="center" wrapText="1"/>
    </xf>
    <xf numFmtId="0" fontId="13" fillId="0" borderId="0" xfId="7" applyFont="1"/>
    <xf numFmtId="10" fontId="12" fillId="0" borderId="0" xfId="1" applyNumberFormat="1" applyFont="1" applyAlignment="1">
      <alignment horizontal="center" vertical="center"/>
    </xf>
    <xf numFmtId="0" fontId="12" fillId="0" borderId="0" xfId="5" applyFont="1" applyAlignment="1">
      <alignment vertical="center"/>
    </xf>
    <xf numFmtId="0" fontId="16" fillId="0" borderId="1" xfId="20" applyFont="1" applyBorder="1" applyAlignment="1">
      <alignment horizontal="center" vertical="center" wrapText="1" readingOrder="1"/>
    </xf>
    <xf numFmtId="166" fontId="16" fillId="0" borderId="1" xfId="14" applyNumberFormat="1" applyFont="1" applyFill="1" applyBorder="1" applyAlignment="1">
      <alignment horizontal="center" vertical="center" wrapText="1" readingOrder="1"/>
    </xf>
    <xf numFmtId="0" fontId="16" fillId="0" borderId="1" xfId="20" applyFont="1" applyBorder="1" applyAlignment="1">
      <alignment horizontal="justify" vertical="center" wrapText="1" readingOrder="1"/>
    </xf>
    <xf numFmtId="0" fontId="15" fillId="0" borderId="1" xfId="6" applyFont="1" applyBorder="1" applyAlignment="1">
      <alignment horizontal="left" vertical="center"/>
    </xf>
    <xf numFmtId="0" fontId="15" fillId="0" borderId="1" xfId="6" applyFont="1" applyBorder="1" applyAlignment="1">
      <alignment horizontal="center" vertical="center"/>
    </xf>
    <xf numFmtId="166" fontId="15" fillId="0" borderId="1" xfId="14" applyNumberFormat="1" applyFont="1" applyFill="1" applyBorder="1" applyAlignment="1">
      <alignment horizontal="center" vertical="center"/>
    </xf>
    <xf numFmtId="0" fontId="16" fillId="0" borderId="1" xfId="6" applyFont="1" applyBorder="1" applyAlignment="1">
      <alignment horizontal="justify" vertical="top" wrapText="1"/>
    </xf>
    <xf numFmtId="0" fontId="15" fillId="0" borderId="1" xfId="6" applyFont="1" applyBorder="1" applyAlignment="1">
      <alignment horizontal="center" vertical="center" wrapText="1"/>
    </xf>
    <xf numFmtId="166" fontId="16" fillId="0" borderId="1" xfId="14" applyNumberFormat="1" applyFont="1" applyFill="1" applyBorder="1" applyAlignment="1">
      <alignment horizontal="center" vertical="center"/>
    </xf>
    <xf numFmtId="0" fontId="16" fillId="0" borderId="1" xfId="6" applyFont="1" applyBorder="1" applyAlignment="1">
      <alignment horizontal="left" vertical="center" wrapText="1"/>
    </xf>
    <xf numFmtId="0" fontId="16" fillId="0" borderId="1" xfId="6" applyFont="1" applyBorder="1" applyAlignment="1">
      <alignment horizontal="center" vertical="center" wrapText="1"/>
    </xf>
    <xf numFmtId="43" fontId="16" fillId="0" borderId="1" xfId="6" applyNumberFormat="1" applyFont="1" applyBorder="1" applyAlignment="1">
      <alignment horizontal="center" vertical="center" wrapText="1"/>
    </xf>
    <xf numFmtId="166" fontId="16" fillId="0" borderId="1" xfId="17" applyNumberFormat="1" applyFont="1" applyFill="1" applyBorder="1" applyAlignment="1" applyProtection="1">
      <alignment horizontal="center" vertical="center" wrapText="1" readingOrder="1"/>
      <protection locked="0"/>
    </xf>
    <xf numFmtId="166" fontId="15" fillId="0" borderId="1" xfId="17" applyNumberFormat="1" applyFont="1" applyFill="1" applyBorder="1" applyAlignment="1" applyProtection="1">
      <alignment horizontal="center" vertical="center" wrapText="1" readingOrder="1"/>
      <protection locked="0"/>
    </xf>
    <xf numFmtId="0" fontId="16" fillId="0" borderId="1" xfId="6" applyFont="1" applyBorder="1" applyAlignment="1">
      <alignment horizontal="center" vertical="center"/>
    </xf>
    <xf numFmtId="166" fontId="16" fillId="0" borderId="1" xfId="14" applyNumberFormat="1" applyFont="1" applyFill="1" applyBorder="1" applyAlignment="1">
      <alignment horizontal="center" vertical="center" wrapText="1"/>
    </xf>
    <xf numFmtId="0" fontId="21" fillId="0" borderId="1" xfId="6" applyFont="1" applyBorder="1" applyAlignment="1">
      <alignment vertical="center"/>
    </xf>
    <xf numFmtId="0" fontId="16" fillId="0" borderId="1" xfId="6" applyFont="1" applyBorder="1" applyAlignment="1">
      <alignment vertical="center" wrapText="1"/>
    </xf>
    <xf numFmtId="0" fontId="16" fillId="0" borderId="1" xfId="20" applyFont="1" applyBorder="1" applyAlignment="1">
      <alignment vertical="center"/>
    </xf>
    <xf numFmtId="0" fontId="21" fillId="0" borderId="1" xfId="6" applyFont="1" applyBorder="1" applyAlignment="1">
      <alignment vertical="center" wrapText="1"/>
    </xf>
    <xf numFmtId="0" fontId="16" fillId="0" borderId="5" xfId="6" applyFont="1" applyBorder="1" applyAlignment="1">
      <alignment horizontal="right" vertical="center" wrapText="1"/>
    </xf>
    <xf numFmtId="0" fontId="21" fillId="0" borderId="1" xfId="6" applyFont="1" applyBorder="1" applyAlignment="1">
      <alignment horizontal="left" vertical="center" wrapText="1"/>
    </xf>
    <xf numFmtId="0" fontId="15" fillId="0" borderId="1" xfId="6" applyFont="1" applyBorder="1" applyAlignment="1">
      <alignment vertical="center" wrapText="1"/>
    </xf>
    <xf numFmtId="0" fontId="17" fillId="0" borderId="1" xfId="21" quotePrefix="1" applyFont="1" applyBorder="1" applyAlignment="1">
      <alignment horizontal="left" vertical="center" wrapText="1"/>
    </xf>
    <xf numFmtId="0" fontId="15" fillId="0" borderId="1" xfId="6" applyFont="1" applyBorder="1" applyAlignment="1">
      <alignment horizontal="left" vertical="center" wrapText="1"/>
    </xf>
    <xf numFmtId="43" fontId="16" fillId="0" borderId="1" xfId="6" applyNumberFormat="1" applyFont="1" applyBorder="1" applyAlignment="1">
      <alignment horizontal="center" vertical="center"/>
    </xf>
    <xf numFmtId="166" fontId="22" fillId="0" borderId="1" xfId="14" applyNumberFormat="1" applyFont="1" applyFill="1" applyBorder="1" applyAlignment="1">
      <alignment horizontal="center" vertical="center"/>
    </xf>
    <xf numFmtId="166" fontId="22" fillId="0" borderId="1" xfId="17" applyNumberFormat="1" applyFont="1" applyFill="1" applyBorder="1" applyAlignment="1" applyProtection="1">
      <alignment horizontal="center" vertical="center" wrapText="1" readingOrder="1"/>
      <protection locked="0"/>
    </xf>
    <xf numFmtId="166" fontId="15" fillId="0" borderId="3" xfId="20" applyNumberFormat="1" applyFont="1" applyBorder="1" applyAlignment="1">
      <alignment horizontal="center" vertical="center"/>
    </xf>
    <xf numFmtId="0" fontId="16" fillId="0" borderId="0" xfId="5" applyFont="1" applyAlignment="1">
      <alignment vertical="center"/>
    </xf>
    <xf numFmtId="166" fontId="17" fillId="0" borderId="0" xfId="14" applyNumberFormat="1" applyFont="1" applyFill="1" applyAlignment="1">
      <alignment vertical="center"/>
    </xf>
    <xf numFmtId="0" fontId="12" fillId="0" borderId="0" xfId="5" applyFont="1" applyAlignment="1">
      <alignment horizontal="left" vertical="center"/>
    </xf>
    <xf numFmtId="0" fontId="15" fillId="0" borderId="10" xfId="35" applyFont="1" applyBorder="1" applyAlignment="1">
      <alignment horizontal="left" vertical="center" wrapText="1"/>
    </xf>
    <xf numFmtId="43" fontId="12" fillId="0" borderId="0" xfId="5" applyNumberFormat="1" applyFont="1" applyAlignment="1">
      <alignment vertical="center"/>
    </xf>
    <xf numFmtId="0" fontId="16" fillId="0" borderId="10" xfId="20" applyFont="1" applyBorder="1" applyAlignment="1">
      <alignment horizontal="center" vertical="center" wrapText="1" readingOrder="1"/>
    </xf>
    <xf numFmtId="166" fontId="16" fillId="0" borderId="10" xfId="14" applyNumberFormat="1" applyFont="1" applyFill="1" applyBorder="1" applyAlignment="1">
      <alignment horizontal="center" vertical="center" wrapText="1" readingOrder="1"/>
    </xf>
    <xf numFmtId="0" fontId="15" fillId="0" borderId="10" xfId="35" applyFont="1" applyBorder="1" applyAlignment="1">
      <alignment horizontal="left" vertical="center"/>
    </xf>
    <xf numFmtId="0" fontId="15" fillId="0" borderId="10" xfId="35" applyFont="1" applyBorder="1" applyAlignment="1">
      <alignment horizontal="center" vertical="center"/>
    </xf>
    <xf numFmtId="166" fontId="15" fillId="0" borderId="10" xfId="14" applyNumberFormat="1" applyFont="1" applyFill="1" applyBorder="1" applyAlignment="1">
      <alignment horizontal="center" vertical="center"/>
    </xf>
    <xf numFmtId="0" fontId="16" fillId="0" borderId="10" xfId="35" applyFont="1" applyBorder="1" applyAlignment="1">
      <alignment horizontal="center" vertical="center"/>
    </xf>
    <xf numFmtId="166" fontId="16" fillId="0" borderId="10" xfId="14" applyNumberFormat="1" applyFont="1" applyFill="1" applyBorder="1" applyAlignment="1">
      <alignment horizontal="center" vertical="center"/>
    </xf>
    <xf numFmtId="0" fontId="16" fillId="0" borderId="10" xfId="35" applyFont="1" applyBorder="1" applyAlignment="1">
      <alignment horizontal="left" vertical="center" wrapText="1"/>
    </xf>
    <xf numFmtId="0" fontId="16" fillId="0" borderId="10" xfId="35" applyFont="1" applyBorder="1" applyAlignment="1">
      <alignment horizontal="center" vertical="center" wrapText="1"/>
    </xf>
    <xf numFmtId="43" fontId="16" fillId="0" borderId="10" xfId="35" applyNumberFormat="1" applyFont="1" applyBorder="1" applyAlignment="1">
      <alignment horizontal="center" vertical="center" wrapText="1"/>
    </xf>
    <xf numFmtId="166" fontId="16" fillId="0" borderId="10" xfId="14" applyNumberFormat="1" applyFont="1" applyFill="1" applyBorder="1" applyAlignment="1">
      <alignment horizontal="center" vertical="center" wrapText="1"/>
    </xf>
    <xf numFmtId="0" fontId="16" fillId="0" borderId="10" xfId="35" applyFont="1" applyBorder="1" applyAlignment="1">
      <alignment vertical="center" wrapText="1"/>
    </xf>
    <xf numFmtId="0" fontId="16" fillId="0" borderId="10" xfId="20" applyFont="1" applyBorder="1" applyAlignment="1">
      <alignment vertical="center"/>
    </xf>
    <xf numFmtId="0" fontId="21" fillId="0" borderId="10" xfId="35" applyFont="1" applyBorder="1" applyAlignment="1">
      <alignment vertical="center" wrapText="1"/>
    </xf>
    <xf numFmtId="166" fontId="22" fillId="0" borderId="10" xfId="14" applyNumberFormat="1" applyFont="1" applyFill="1" applyBorder="1" applyAlignment="1">
      <alignment horizontal="center" vertical="center"/>
    </xf>
    <xf numFmtId="0" fontId="16" fillId="0" borderId="10" xfId="35" applyFont="1" applyBorder="1" applyAlignment="1">
      <alignment horizontal="left" vertical="center"/>
    </xf>
    <xf numFmtId="3" fontId="16" fillId="0" borderId="10" xfId="35" applyNumberFormat="1" applyFont="1" applyBorder="1" applyAlignment="1">
      <alignment horizontal="center" vertical="center" wrapText="1"/>
    </xf>
    <xf numFmtId="0" fontId="16" fillId="0" borderId="10" xfId="35" applyFont="1" applyBorder="1" applyAlignment="1">
      <alignment wrapText="1"/>
    </xf>
    <xf numFmtId="0" fontId="22" fillId="0" borderId="10" xfId="35" applyFont="1" applyBorder="1" applyAlignment="1">
      <alignment horizontal="center" vertical="center"/>
    </xf>
    <xf numFmtId="0" fontId="16" fillId="0" borderId="10" xfId="20" applyFont="1" applyBorder="1" applyAlignment="1">
      <alignment horizontal="center" vertical="center"/>
    </xf>
    <xf numFmtId="166" fontId="16" fillId="0" borderId="10" xfId="14" applyNumberFormat="1" applyFont="1" applyFill="1" applyBorder="1" applyAlignment="1">
      <alignment vertical="center"/>
    </xf>
    <xf numFmtId="0" fontId="16" fillId="0" borderId="10" xfId="20" applyFont="1" applyBorder="1" applyAlignment="1">
      <alignment vertical="center" wrapText="1"/>
    </xf>
    <xf numFmtId="0" fontId="16" fillId="0" borderId="10" xfId="6" quotePrefix="1" applyFont="1" applyBorder="1" applyAlignment="1">
      <alignment horizontal="left" vertical="justify" wrapText="1"/>
    </xf>
    <xf numFmtId="0" fontId="17" fillId="0" borderId="10" xfId="20" applyFont="1" applyBorder="1" applyAlignment="1">
      <alignment horizontal="justify" vertical="center" wrapText="1"/>
    </xf>
    <xf numFmtId="0" fontId="17" fillId="0" borderId="10" xfId="20" applyFont="1" applyBorder="1" applyAlignment="1">
      <alignment horizontal="center" vertical="center"/>
    </xf>
    <xf numFmtId="166" fontId="17" fillId="0" borderId="10" xfId="14" applyNumberFormat="1" applyFont="1" applyFill="1" applyBorder="1" applyAlignment="1">
      <alignment horizontal="center" vertical="center"/>
    </xf>
    <xf numFmtId="0" fontId="15" fillId="0" borderId="10" xfId="20" applyFont="1" applyBorder="1" applyAlignment="1">
      <alignment horizontal="left" vertical="center" wrapText="1" readingOrder="1"/>
    </xf>
    <xf numFmtId="0" fontId="15" fillId="0" borderId="10" xfId="20" applyFont="1" applyBorder="1" applyAlignment="1">
      <alignment horizontal="center" vertical="center" wrapText="1" readingOrder="1"/>
    </xf>
    <xf numFmtId="1" fontId="15" fillId="0" borderId="10" xfId="20" applyNumberFormat="1" applyFont="1" applyBorder="1" applyAlignment="1">
      <alignment horizontal="center" vertical="center" wrapText="1" readingOrder="1"/>
    </xf>
    <xf numFmtId="166" fontId="15" fillId="0" borderId="10" xfId="14" applyNumberFormat="1" applyFont="1" applyFill="1" applyBorder="1" applyAlignment="1">
      <alignment horizontal="center" vertical="center" wrapText="1" readingOrder="1"/>
    </xf>
    <xf numFmtId="1" fontId="16" fillId="0" borderId="10" xfId="20" applyNumberFormat="1" applyFont="1" applyBorder="1" applyAlignment="1">
      <alignment horizontal="center" vertical="center" wrapText="1" readingOrder="1"/>
    </xf>
    <xf numFmtId="0" fontId="16" fillId="0" borderId="10" xfId="5" applyFont="1" applyBorder="1" applyAlignment="1">
      <alignment vertical="center" wrapText="1"/>
    </xf>
    <xf numFmtId="0" fontId="23" fillId="0" borderId="10" xfId="5" applyFont="1" applyBorder="1" applyAlignment="1">
      <alignment vertical="center" wrapText="1"/>
    </xf>
    <xf numFmtId="0" fontId="16" fillId="0" borderId="10" xfId="5" applyFont="1" applyBorder="1" applyAlignment="1">
      <alignment horizontal="left" vertical="top" wrapText="1"/>
    </xf>
    <xf numFmtId="0" fontId="16" fillId="0" borderId="10" xfId="5" applyFont="1" applyBorder="1" applyAlignment="1">
      <alignment horizontal="left" vertical="center" wrapText="1"/>
    </xf>
    <xf numFmtId="0" fontId="16" fillId="0" borderId="11" xfId="35" applyFont="1" applyBorder="1" applyAlignment="1">
      <alignment horizontal="left" vertical="center" wrapText="1"/>
    </xf>
    <xf numFmtId="0" fontId="16" fillId="0" borderId="11" xfId="35" applyFont="1" applyBorder="1" applyAlignment="1">
      <alignment horizontal="center" vertical="center"/>
    </xf>
    <xf numFmtId="166" fontId="16" fillId="0" borderId="11" xfId="14" applyNumberFormat="1" applyFont="1" applyFill="1" applyBorder="1" applyAlignment="1">
      <alignment vertical="center"/>
    </xf>
    <xf numFmtId="166" fontId="17" fillId="0" borderId="0" xfId="14" applyNumberFormat="1" applyFont="1" applyAlignment="1">
      <alignment vertical="center"/>
    </xf>
    <xf numFmtId="0" fontId="13" fillId="0" borderId="0" xfId="22" applyFont="1"/>
    <xf numFmtId="43" fontId="13" fillId="0" borderId="0" xfId="22" applyNumberFormat="1" applyFont="1"/>
    <xf numFmtId="0" fontId="13" fillId="0" borderId="0" xfId="22" applyFont="1" applyAlignment="1">
      <alignment vertical="center"/>
    </xf>
    <xf numFmtId="0" fontId="16" fillId="0" borderId="0" xfId="22" applyFont="1"/>
    <xf numFmtId="43" fontId="14" fillId="0" borderId="0" xfId="17" applyFont="1" applyFill="1" applyAlignment="1">
      <alignment horizontal="center" vertical="center"/>
    </xf>
    <xf numFmtId="0" fontId="13" fillId="0" borderId="0" xfId="22" applyFont="1" applyAlignment="1">
      <alignment vertical="center" wrapText="1"/>
    </xf>
    <xf numFmtId="0" fontId="14" fillId="0" borderId="0" xfId="22" applyFont="1" applyAlignment="1">
      <alignment horizontal="right" vertical="center"/>
    </xf>
    <xf numFmtId="43" fontId="13" fillId="0" borderId="0" xfId="17" applyFont="1" applyFill="1" applyAlignment="1">
      <alignment vertical="center"/>
    </xf>
    <xf numFmtId="0" fontId="14" fillId="0" borderId="12" xfId="5" applyFont="1" applyBorder="1" applyAlignment="1">
      <alignment horizontal="center" vertical="center" wrapText="1" readingOrder="1"/>
    </xf>
    <xf numFmtId="0" fontId="14" fillId="0" borderId="12" xfId="5" applyFont="1" applyBorder="1" applyAlignment="1">
      <alignment horizontal="left" vertical="center" wrapText="1" readingOrder="1"/>
    </xf>
    <xf numFmtId="43" fontId="14" fillId="0" borderId="12" xfId="14" applyFont="1" applyBorder="1" applyAlignment="1">
      <alignment horizontal="center" vertical="center" wrapText="1" readingOrder="1"/>
    </xf>
    <xf numFmtId="43" fontId="14" fillId="0" borderId="12" xfId="14" applyFont="1" applyBorder="1" applyAlignment="1">
      <alignment horizontal="left" vertical="center" wrapText="1" readingOrder="1"/>
    </xf>
    <xf numFmtId="166" fontId="14" fillId="0" borderId="12" xfId="14" applyNumberFormat="1" applyFont="1" applyBorder="1" applyAlignment="1">
      <alignment vertical="center" wrapText="1" readingOrder="1"/>
    </xf>
    <xf numFmtId="0" fontId="12" fillId="0" borderId="0" xfId="27" applyFont="1" applyAlignment="1">
      <alignment vertical="center"/>
    </xf>
    <xf numFmtId="166" fontId="14" fillId="0" borderId="12" xfId="14" applyNumberFormat="1" applyFont="1" applyBorder="1" applyAlignment="1">
      <alignment horizontal="center" vertical="center" wrapText="1" readingOrder="1"/>
    </xf>
    <xf numFmtId="0" fontId="16" fillId="0" borderId="10" xfId="5" applyFont="1" applyBorder="1" applyAlignment="1">
      <alignment horizontal="center" vertical="center"/>
    </xf>
    <xf numFmtId="0" fontId="16" fillId="0" borderId="11" xfId="5" applyFont="1" applyBorder="1" applyAlignment="1">
      <alignment horizontal="center" vertical="center"/>
    </xf>
    <xf numFmtId="0" fontId="16" fillId="0" borderId="0" xfId="5" applyFont="1" applyAlignment="1">
      <alignment horizontal="center" vertical="center"/>
    </xf>
    <xf numFmtId="0" fontId="12" fillId="0" borderId="0" xfId="5" applyFont="1" applyAlignment="1">
      <alignment horizontal="center" vertical="center"/>
    </xf>
    <xf numFmtId="3" fontId="13" fillId="0" borderId="9" xfId="6" applyNumberFormat="1" applyFont="1" applyBorder="1" applyAlignment="1">
      <alignment horizontal="center" vertical="center"/>
    </xf>
    <xf numFmtId="3" fontId="13" fillId="0" borderId="9" xfId="6" applyNumberFormat="1" applyFont="1" applyBorder="1" applyAlignment="1">
      <alignment horizontal="center" vertical="center" wrapText="1"/>
    </xf>
    <xf numFmtId="0" fontId="27" fillId="0" borderId="0" xfId="0" applyFont="1"/>
    <xf numFmtId="0" fontId="27" fillId="0" borderId="0" xfId="0" applyFont="1" applyAlignment="1">
      <alignment vertical="center"/>
    </xf>
    <xf numFmtId="0" fontId="25" fillId="0" borderId="0" xfId="27" applyFont="1" applyAlignment="1">
      <alignment vertical="center"/>
    </xf>
    <xf numFmtId="43" fontId="25" fillId="0" borderId="0" xfId="27" applyNumberFormat="1" applyFont="1" applyAlignment="1">
      <alignment vertical="center"/>
    </xf>
    <xf numFmtId="0" fontId="26" fillId="0" borderId="0" xfId="27" applyFont="1" applyAlignment="1">
      <alignment vertical="center"/>
    </xf>
    <xf numFmtId="1" fontId="16" fillId="0" borderId="13" xfId="25" applyNumberFormat="1" applyFont="1" applyBorder="1" applyAlignment="1">
      <alignment horizontal="left" vertical="center" wrapText="1" readingOrder="1"/>
    </xf>
    <xf numFmtId="0" fontId="15" fillId="0" borderId="13" xfId="25" applyFont="1" applyBorder="1" applyAlignment="1">
      <alignment horizontal="left" vertical="center" wrapText="1" readingOrder="1"/>
    </xf>
    <xf numFmtId="166" fontId="15" fillId="0" borderId="13" xfId="26" applyNumberFormat="1" applyFont="1" applyBorder="1" applyAlignment="1">
      <alignment horizontal="left" vertical="center" wrapText="1" readingOrder="1"/>
    </xf>
    <xf numFmtId="0" fontId="21" fillId="0" borderId="19" xfId="35" applyFont="1" applyBorder="1" applyAlignment="1">
      <alignment vertical="center" wrapText="1"/>
    </xf>
    <xf numFmtId="0" fontId="16" fillId="0" borderId="19" xfId="35" applyFont="1" applyBorder="1" applyAlignment="1">
      <alignment horizontal="center" vertical="center" wrapText="1"/>
    </xf>
    <xf numFmtId="0" fontId="16" fillId="0" borderId="19" xfId="35" applyFont="1" applyBorder="1" applyAlignment="1">
      <alignment horizontal="center" vertical="center"/>
    </xf>
    <xf numFmtId="166" fontId="16" fillId="0" borderId="19" xfId="14" applyNumberFormat="1" applyFont="1" applyFill="1" applyBorder="1" applyAlignment="1">
      <alignment horizontal="center" vertical="center"/>
    </xf>
    <xf numFmtId="0" fontId="14" fillId="2" borderId="23" xfId="18" applyFont="1" applyFill="1" applyBorder="1" applyAlignment="1">
      <alignment horizontal="center" vertical="center" wrapText="1" readingOrder="1"/>
    </xf>
    <xf numFmtId="0" fontId="14" fillId="2" borderId="24" xfId="18" applyFont="1" applyFill="1" applyBorder="1" applyAlignment="1">
      <alignment horizontal="center" vertical="center" wrapText="1" readingOrder="1"/>
    </xf>
    <xf numFmtId="0" fontId="14" fillId="2" borderId="24" xfId="18" applyFont="1" applyFill="1" applyBorder="1" applyAlignment="1">
      <alignment horizontal="center" vertical="center" wrapText="1"/>
    </xf>
    <xf numFmtId="1" fontId="14" fillId="0" borderId="29" xfId="6" applyNumberFormat="1" applyFont="1" applyBorder="1" applyAlignment="1">
      <alignment horizontal="center" vertical="center"/>
    </xf>
    <xf numFmtId="1" fontId="19" fillId="0" borderId="9" xfId="6" applyNumberFormat="1" applyFont="1" applyBorder="1" applyAlignment="1">
      <alignment horizontal="left" vertical="center" wrapText="1"/>
    </xf>
    <xf numFmtId="43" fontId="13" fillId="0" borderId="9" xfId="14" applyFont="1" applyFill="1" applyBorder="1" applyAlignment="1">
      <alignment vertical="center"/>
    </xf>
    <xf numFmtId="0" fontId="13" fillId="0" borderId="30" xfId="6" applyFont="1" applyBorder="1" applyAlignment="1">
      <alignment horizontal="center" vertical="center"/>
    </xf>
    <xf numFmtId="2" fontId="14" fillId="0" borderId="29" xfId="6" applyNumberFormat="1" applyFont="1" applyBorder="1" applyAlignment="1">
      <alignment horizontal="center" vertical="center"/>
    </xf>
    <xf numFmtId="1" fontId="14" fillId="0" borderId="9" xfId="6" applyNumberFormat="1" applyFont="1" applyBorder="1" applyAlignment="1">
      <alignment horizontal="left" vertical="center" wrapText="1"/>
    </xf>
    <xf numFmtId="167" fontId="14" fillId="0" borderId="29" xfId="6" applyNumberFormat="1" applyFont="1" applyBorder="1" applyAlignment="1">
      <alignment horizontal="center" vertical="center"/>
    </xf>
    <xf numFmtId="0" fontId="13" fillId="0" borderId="29" xfId="6" applyFont="1" applyBorder="1" applyAlignment="1">
      <alignment horizontal="center" vertical="center" wrapText="1"/>
    </xf>
    <xf numFmtId="0" fontId="13" fillId="0" borderId="9" xfId="6" applyFont="1" applyBorder="1" applyAlignment="1">
      <alignment horizontal="left" vertical="top" wrapText="1"/>
    </xf>
    <xf numFmtId="0" fontId="13" fillId="0" borderId="9" xfId="6" applyFont="1" applyBorder="1" applyAlignment="1">
      <alignment horizontal="left" vertical="center" wrapText="1"/>
    </xf>
    <xf numFmtId="43" fontId="13" fillId="0" borderId="30" xfId="6" applyNumberFormat="1" applyFont="1" applyBorder="1" applyAlignment="1">
      <alignment horizontal="center" vertical="center"/>
    </xf>
    <xf numFmtId="0" fontId="13" fillId="0" borderId="9" xfId="6" applyFont="1" applyBorder="1" applyAlignment="1">
      <alignment horizontal="left" wrapText="1"/>
    </xf>
    <xf numFmtId="0" fontId="14" fillId="0" borderId="29" xfId="6" applyFont="1" applyBorder="1" applyAlignment="1">
      <alignment horizontal="center" vertical="center" wrapText="1"/>
    </xf>
    <xf numFmtId="0" fontId="19" fillId="0" borderId="9" xfId="6" applyFont="1" applyBorder="1" applyAlignment="1">
      <alignment horizontal="left" vertical="top" wrapText="1"/>
    </xf>
    <xf numFmtId="0" fontId="13" fillId="0" borderId="9" xfId="6" applyFont="1" applyBorder="1" applyAlignment="1">
      <alignment vertical="center" wrapText="1"/>
    </xf>
    <xf numFmtId="0" fontId="19" fillId="0" borderId="9" xfId="6" applyFont="1" applyBorder="1" applyAlignment="1">
      <alignment vertical="center" wrapText="1"/>
    </xf>
    <xf numFmtId="2" fontId="13" fillId="0" borderId="29" xfId="6" applyNumberFormat="1" applyFont="1" applyBorder="1" applyAlignment="1">
      <alignment horizontal="center" vertical="center" wrapText="1"/>
    </xf>
    <xf numFmtId="0" fontId="13" fillId="0" borderId="29" xfId="6" applyFont="1" applyBorder="1" applyAlignment="1">
      <alignment horizontal="center" vertical="center"/>
    </xf>
    <xf numFmtId="0" fontId="13" fillId="0" borderId="29" xfId="6" applyFont="1" applyBorder="1" applyAlignment="1">
      <alignment horizontal="center"/>
    </xf>
    <xf numFmtId="167" fontId="14" fillId="0" borderId="29" xfId="6" applyNumberFormat="1" applyFont="1" applyBorder="1" applyAlignment="1">
      <alignment horizontal="center" vertical="center" wrapText="1"/>
    </xf>
    <xf numFmtId="0" fontId="19" fillId="0" borderId="9" xfId="6" applyFont="1" applyBorder="1" applyAlignment="1">
      <alignment horizontal="left"/>
    </xf>
    <xf numFmtId="0" fontId="13" fillId="0" borderId="9" xfId="6" applyFont="1" applyBorder="1"/>
    <xf numFmtId="0" fontId="13" fillId="0" borderId="9" xfId="6" applyFont="1" applyBorder="1" applyAlignment="1">
      <alignment horizontal="justify" vertical="top"/>
    </xf>
    <xf numFmtId="0" fontId="13" fillId="0" borderId="9" xfId="6" applyFont="1" applyBorder="1" applyAlignment="1">
      <alignment horizontal="center"/>
    </xf>
    <xf numFmtId="166" fontId="14" fillId="0" borderId="33" xfId="14" applyNumberFormat="1" applyFont="1" applyFill="1" applyBorder="1" applyAlignment="1">
      <alignment vertical="center"/>
    </xf>
    <xf numFmtId="0" fontId="14" fillId="0" borderId="36" xfId="5" applyFont="1" applyBorder="1" applyAlignment="1">
      <alignment horizontal="left" vertical="center" wrapText="1" readingOrder="1"/>
    </xf>
    <xf numFmtId="0" fontId="15" fillId="2" borderId="38" xfId="25" applyFont="1" applyFill="1" applyBorder="1" applyAlignment="1">
      <alignment horizontal="center" vertical="center" wrapText="1"/>
    </xf>
    <xf numFmtId="0" fontId="15" fillId="2" borderId="39" xfId="25" applyFont="1" applyFill="1" applyBorder="1" applyAlignment="1">
      <alignment horizontal="center" vertical="center" wrapText="1"/>
    </xf>
    <xf numFmtId="0" fontId="15" fillId="2" borderId="40" xfId="25" applyFont="1" applyFill="1" applyBorder="1" applyAlignment="1">
      <alignment horizontal="center" vertical="center" wrapText="1"/>
    </xf>
    <xf numFmtId="0" fontId="21" fillId="0" borderId="42" xfId="20" applyFont="1" applyBorder="1" applyAlignment="1">
      <alignment horizontal="left" vertical="center" wrapText="1" readingOrder="1"/>
    </xf>
    <xf numFmtId="0" fontId="16" fillId="0" borderId="42" xfId="20" applyFont="1" applyBorder="1" applyAlignment="1">
      <alignment horizontal="center" vertical="center" wrapText="1" readingOrder="1"/>
    </xf>
    <xf numFmtId="166" fontId="16" fillId="0" borderId="42" xfId="14" applyNumberFormat="1" applyFont="1" applyFill="1" applyBorder="1" applyAlignment="1">
      <alignment horizontal="center" vertical="center" wrapText="1" readingOrder="1"/>
    </xf>
    <xf numFmtId="0" fontId="16" fillId="0" borderId="44" xfId="20" applyFont="1" applyBorder="1" applyAlignment="1">
      <alignment horizontal="center" vertical="center" wrapText="1" readingOrder="1"/>
    </xf>
    <xf numFmtId="0" fontId="16" fillId="0" borderId="45" xfId="20" applyFont="1" applyBorder="1" applyAlignment="1">
      <alignment horizontal="center" vertical="center" wrapText="1" readingOrder="1"/>
    </xf>
    <xf numFmtId="0" fontId="20" fillId="0" borderId="47" xfId="5" applyFont="1" applyBorder="1" applyAlignment="1">
      <alignment horizontal="center" vertical="center"/>
    </xf>
    <xf numFmtId="0" fontId="20" fillId="0" borderId="47" xfId="5" applyFont="1" applyBorder="1" applyAlignment="1">
      <alignment vertical="center"/>
    </xf>
    <xf numFmtId="0" fontId="20" fillId="0" borderId="3" xfId="5" applyFont="1" applyBorder="1" applyAlignment="1">
      <alignment horizontal="center" vertical="center"/>
    </xf>
    <xf numFmtId="0" fontId="28" fillId="3" borderId="48" xfId="0" applyFont="1" applyFill="1" applyBorder="1" applyAlignment="1">
      <alignment horizontal="center" vertical="center" wrapText="1"/>
    </xf>
    <xf numFmtId="4" fontId="29" fillId="4" borderId="48" xfId="0" applyNumberFormat="1" applyFont="1" applyFill="1" applyBorder="1" applyAlignment="1">
      <alignment horizontal="right" vertical="center" wrapText="1"/>
    </xf>
    <xf numFmtId="0" fontId="29" fillId="4" borderId="48" xfId="0" applyFont="1" applyFill="1" applyBorder="1" applyAlignment="1">
      <alignment horizontal="center" vertical="center" wrapText="1"/>
    </xf>
    <xf numFmtId="168" fontId="29" fillId="5" borderId="48" xfId="0" applyNumberFormat="1" applyFont="1" applyFill="1" applyBorder="1" applyAlignment="1">
      <alignment horizontal="center" vertical="center" wrapText="1"/>
    </xf>
    <xf numFmtId="4" fontId="29" fillId="5" borderId="48" xfId="0" applyNumberFormat="1" applyFont="1" applyFill="1" applyBorder="1" applyAlignment="1">
      <alignment horizontal="right" vertical="center" wrapText="1"/>
    </xf>
    <xf numFmtId="4" fontId="29" fillId="6" borderId="48" xfId="0" applyNumberFormat="1" applyFont="1" applyFill="1" applyBorder="1" applyAlignment="1">
      <alignment horizontal="right" vertical="center" wrapText="1"/>
    </xf>
    <xf numFmtId="4" fontId="29" fillId="7" borderId="48" xfId="0" applyNumberFormat="1" applyFont="1" applyFill="1" applyBorder="1" applyAlignment="1">
      <alignment horizontal="right" vertical="center" wrapText="1"/>
    </xf>
    <xf numFmtId="4" fontId="29" fillId="4" borderId="48" xfId="0" applyNumberFormat="1" applyFont="1" applyFill="1" applyBorder="1" applyAlignment="1">
      <alignment horizontal="center" vertical="center" wrapText="1"/>
    </xf>
    <xf numFmtId="4" fontId="29" fillId="5" borderId="48" xfId="0" applyNumberFormat="1" applyFont="1" applyFill="1" applyBorder="1" applyAlignment="1">
      <alignment horizontal="center" vertical="center" wrapText="1"/>
    </xf>
    <xf numFmtId="4" fontId="29" fillId="6" borderId="48" xfId="0" applyNumberFormat="1" applyFont="1" applyFill="1" applyBorder="1" applyAlignment="1">
      <alignment horizontal="center" vertical="center" wrapText="1"/>
    </xf>
    <xf numFmtId="4" fontId="29" fillId="7" borderId="48" xfId="0" applyNumberFormat="1" applyFont="1" applyFill="1" applyBorder="1" applyAlignment="1">
      <alignment horizontal="center" vertical="center" wrapText="1"/>
    </xf>
    <xf numFmtId="0" fontId="27" fillId="0" borderId="0" xfId="0" applyFont="1" applyAlignment="1">
      <alignment horizontal="center" vertical="center"/>
    </xf>
    <xf numFmtId="0" fontId="14" fillId="2" borderId="50" xfId="28" applyFont="1" applyFill="1" applyBorder="1" applyAlignment="1">
      <alignment horizontal="center" vertical="center" wrapText="1" readingOrder="1"/>
    </xf>
    <xf numFmtId="0" fontId="14" fillId="2" borderId="49" xfId="28" applyFont="1" applyFill="1" applyBorder="1" applyAlignment="1">
      <alignment horizontal="center" vertical="center" wrapText="1" readingOrder="1"/>
    </xf>
    <xf numFmtId="0" fontId="14" fillId="2" borderId="49" xfId="28" applyFont="1" applyFill="1" applyBorder="1" applyAlignment="1">
      <alignment horizontal="center" vertical="center" wrapText="1"/>
    </xf>
    <xf numFmtId="0" fontId="14" fillId="2" borderId="51" xfId="28" applyFont="1" applyFill="1" applyBorder="1" applyAlignment="1">
      <alignment horizontal="center" vertical="center" wrapText="1" readingOrder="1"/>
    </xf>
    <xf numFmtId="0" fontId="29" fillId="10" borderId="48" xfId="0" applyFont="1" applyFill="1" applyBorder="1" applyAlignment="1">
      <alignment horizontal="center" vertical="center" wrapText="1"/>
    </xf>
    <xf numFmtId="0" fontId="29" fillId="10" borderId="48" xfId="0" applyFont="1" applyFill="1" applyBorder="1" applyAlignment="1">
      <alignment horizontal="right" vertical="center" wrapText="1"/>
    </xf>
    <xf numFmtId="0" fontId="28" fillId="9" borderId="54" xfId="0" applyFont="1" applyFill="1" applyBorder="1" applyAlignment="1">
      <alignment horizontal="centerContinuous" vertical="center" wrapText="1"/>
    </xf>
    <xf numFmtId="0" fontId="28" fillId="9" borderId="55" xfId="0" applyFont="1" applyFill="1" applyBorder="1" applyAlignment="1">
      <alignment horizontal="centerContinuous" vertical="center" wrapText="1"/>
    </xf>
    <xf numFmtId="0" fontId="28" fillId="9" borderId="59" xfId="0" applyFont="1" applyFill="1" applyBorder="1" applyAlignment="1">
      <alignment horizontal="center" vertical="center" wrapText="1"/>
    </xf>
    <xf numFmtId="10" fontId="12" fillId="0" borderId="57" xfId="1" applyNumberFormat="1" applyFont="1" applyBorder="1" applyAlignment="1">
      <alignment horizontal="center" vertical="center"/>
    </xf>
    <xf numFmtId="0" fontId="12" fillId="0" borderId="57" xfId="5" applyFont="1" applyBorder="1" applyAlignment="1">
      <alignment vertical="center"/>
    </xf>
    <xf numFmtId="43" fontId="12" fillId="0" borderId="57" xfId="5" applyNumberFormat="1" applyFont="1" applyBorder="1" applyAlignment="1">
      <alignment vertical="center"/>
    </xf>
    <xf numFmtId="0" fontId="12" fillId="0" borderId="60" xfId="5" applyFont="1" applyBorder="1" applyAlignment="1">
      <alignment vertical="center"/>
    </xf>
    <xf numFmtId="166" fontId="14" fillId="2" borderId="61" xfId="18" applyNumberFormat="1" applyFont="1" applyFill="1" applyBorder="1" applyAlignment="1">
      <alignment horizontal="center" vertical="center" wrapText="1" readingOrder="1"/>
    </xf>
    <xf numFmtId="166" fontId="15" fillId="0" borderId="62" xfId="20" applyNumberFormat="1" applyFont="1" applyBorder="1" applyAlignment="1">
      <alignment horizontal="center" vertical="center"/>
    </xf>
    <xf numFmtId="166" fontId="16" fillId="0" borderId="63" xfId="17" applyNumberFormat="1" applyFont="1" applyFill="1" applyBorder="1" applyAlignment="1" applyProtection="1">
      <alignment horizontal="center" vertical="center" wrapText="1" readingOrder="1"/>
      <protection locked="0"/>
    </xf>
    <xf numFmtId="166" fontId="16" fillId="0" borderId="10" xfId="17" applyNumberFormat="1" applyFont="1" applyFill="1" applyBorder="1" applyAlignment="1" applyProtection="1">
      <alignment horizontal="center" vertical="center" wrapText="1" readingOrder="1"/>
      <protection locked="0"/>
    </xf>
    <xf numFmtId="166" fontId="15" fillId="0" borderId="10" xfId="17" applyNumberFormat="1" applyFont="1" applyFill="1" applyBorder="1" applyAlignment="1" applyProtection="1">
      <alignment horizontal="center" vertical="center" wrapText="1" readingOrder="1"/>
      <protection locked="0"/>
    </xf>
    <xf numFmtId="43" fontId="16" fillId="0" borderId="64" xfId="35" applyNumberFormat="1" applyFont="1" applyBorder="1" applyAlignment="1">
      <alignment horizontal="center" vertical="center" wrapText="1"/>
    </xf>
    <xf numFmtId="0" fontId="28" fillId="11" borderId="48" xfId="0" applyFont="1" applyFill="1" applyBorder="1" applyAlignment="1">
      <alignment horizontal="center" vertical="center" wrapText="1"/>
    </xf>
    <xf numFmtId="0" fontId="29" fillId="12" borderId="48" xfId="0" applyFont="1" applyFill="1" applyBorder="1" applyAlignment="1">
      <alignment horizontal="center" vertical="center" wrapText="1"/>
    </xf>
    <xf numFmtId="0" fontId="28" fillId="11" borderId="52" xfId="0" applyFont="1" applyFill="1" applyBorder="1" applyAlignment="1">
      <alignment horizontal="centerContinuous" vertical="center" wrapText="1"/>
    </xf>
    <xf numFmtId="0" fontId="20" fillId="0" borderId="46" xfId="5" applyFont="1" applyBorder="1" applyAlignment="1">
      <alignment horizontal="center" vertical="center"/>
    </xf>
    <xf numFmtId="0" fontId="14" fillId="2" borderId="28" xfId="28" applyFont="1" applyFill="1" applyBorder="1" applyAlignment="1">
      <alignment horizontal="center" vertical="center" wrapText="1" readingOrder="1"/>
    </xf>
    <xf numFmtId="0" fontId="14" fillId="2" borderId="27" xfId="28" applyFont="1" applyFill="1" applyBorder="1" applyAlignment="1">
      <alignment horizontal="center" vertical="center" wrapText="1" readingOrder="1"/>
    </xf>
    <xf numFmtId="0" fontId="14" fillId="2" borderId="2" xfId="28" applyFont="1" applyFill="1" applyBorder="1" applyAlignment="1">
      <alignment horizontal="center" vertical="center" wrapText="1" readingOrder="1"/>
    </xf>
    <xf numFmtId="0" fontId="14" fillId="2" borderId="2" xfId="28" applyFont="1" applyFill="1" applyBorder="1" applyAlignment="1">
      <alignment horizontal="center" vertical="center" wrapText="1"/>
    </xf>
    <xf numFmtId="0" fontId="28" fillId="9" borderId="52" xfId="0" applyFont="1" applyFill="1" applyBorder="1" applyAlignment="1">
      <alignment horizontal="center" vertical="center" wrapText="1"/>
    </xf>
    <xf numFmtId="0" fontId="28" fillId="9" borderId="53" xfId="0" applyFont="1" applyFill="1" applyBorder="1" applyAlignment="1">
      <alignment horizontal="center" vertical="center" wrapText="1"/>
    </xf>
    <xf numFmtId="0" fontId="30" fillId="0" borderId="0" xfId="38"/>
    <xf numFmtId="0" fontId="32" fillId="13" borderId="65" xfId="38" applyFont="1" applyFill="1" applyBorder="1" applyAlignment="1">
      <alignment horizontal="center" vertical="center" wrapText="1"/>
    </xf>
    <xf numFmtId="0" fontId="33" fillId="15" borderId="65" xfId="38" applyFont="1" applyFill="1" applyBorder="1" applyAlignment="1">
      <alignment horizontal="center" vertical="center" wrapText="1"/>
    </xf>
    <xf numFmtId="0" fontId="33" fillId="15" borderId="65" xfId="38" applyFont="1" applyFill="1" applyBorder="1" applyAlignment="1">
      <alignment horizontal="right" vertical="center" wrapText="1"/>
    </xf>
    <xf numFmtId="169" fontId="33" fillId="15" borderId="65" xfId="38" applyNumberFormat="1" applyFont="1" applyFill="1" applyBorder="1" applyAlignment="1">
      <alignment horizontal="center" vertical="center" wrapText="1"/>
    </xf>
    <xf numFmtId="4" fontId="34" fillId="16" borderId="65" xfId="38" applyNumberFormat="1" applyFont="1" applyFill="1" applyBorder="1" applyAlignment="1">
      <alignment horizontal="center" vertical="center" wrapText="1"/>
    </xf>
    <xf numFmtId="4" fontId="33" fillId="16" borderId="65" xfId="38" applyNumberFormat="1" applyFont="1" applyFill="1" applyBorder="1" applyAlignment="1">
      <alignment horizontal="center" vertical="center" wrapText="1"/>
    </xf>
    <xf numFmtId="4" fontId="34" fillId="17" borderId="65" xfId="38" applyNumberFormat="1" applyFont="1" applyFill="1" applyBorder="1" applyAlignment="1">
      <alignment horizontal="center" vertical="center" wrapText="1"/>
    </xf>
    <xf numFmtId="4" fontId="35" fillId="18" borderId="65" xfId="38" applyNumberFormat="1" applyFont="1" applyFill="1" applyBorder="1" applyAlignment="1">
      <alignment horizontal="center" vertical="center" wrapText="1"/>
    </xf>
    <xf numFmtId="0" fontId="32" fillId="14" borderId="65" xfId="38" applyFont="1" applyFill="1" applyBorder="1" applyAlignment="1">
      <alignment horizontal="centerContinuous" vertical="center" wrapText="1"/>
    </xf>
    <xf numFmtId="0" fontId="30" fillId="14" borderId="65" xfId="38" applyFill="1" applyBorder="1" applyAlignment="1">
      <alignment horizontal="centerContinuous"/>
    </xf>
    <xf numFmtId="0" fontId="32" fillId="13" borderId="66" xfId="38" applyFont="1" applyFill="1" applyBorder="1" applyAlignment="1">
      <alignment horizontal="center" vertical="center" wrapText="1"/>
    </xf>
    <xf numFmtId="0" fontId="32" fillId="13" borderId="67" xfId="38" applyFont="1" applyFill="1" applyBorder="1" applyAlignment="1">
      <alignment horizontal="centerContinuous" vertical="center" wrapText="1"/>
    </xf>
    <xf numFmtId="4" fontId="32" fillId="13" borderId="67" xfId="38" applyNumberFormat="1" applyFont="1" applyFill="1" applyBorder="1" applyAlignment="1">
      <alignment horizontal="center" vertical="center" wrapText="1"/>
    </xf>
    <xf numFmtId="170" fontId="30" fillId="14" borderId="65" xfId="38" applyNumberFormat="1" applyFill="1" applyBorder="1" applyAlignment="1">
      <alignment horizontal="centerContinuous"/>
    </xf>
    <xf numFmtId="0" fontId="32" fillId="14" borderId="67" xfId="38" applyFont="1" applyFill="1" applyBorder="1" applyAlignment="1">
      <alignment horizontal="centerContinuous" vertical="center" wrapText="1"/>
    </xf>
    <xf numFmtId="0" fontId="30" fillId="14" borderId="67" xfId="38" applyFill="1" applyBorder="1" applyAlignment="1">
      <alignment horizontal="centerContinuous"/>
    </xf>
    <xf numFmtId="0" fontId="30" fillId="0" borderId="0" xfId="38" applyAlignment="1">
      <alignment horizontal="center" vertical="center"/>
    </xf>
    <xf numFmtId="0" fontId="30" fillId="14" borderId="65" xfId="38" applyFill="1" applyBorder="1" applyAlignment="1">
      <alignment horizontal="centerContinuous" vertical="center"/>
    </xf>
    <xf numFmtId="0" fontId="29" fillId="4" borderId="48" xfId="0" applyFont="1" applyFill="1" applyBorder="1" applyAlignment="1">
      <alignment horizontal="right" vertical="center" wrapText="1"/>
    </xf>
    <xf numFmtId="0" fontId="13" fillId="0" borderId="0" xfId="22" applyFont="1" applyAlignment="1">
      <alignment horizontal="center"/>
    </xf>
    <xf numFmtId="0" fontId="12" fillId="0" borderId="57" xfId="5" applyFont="1" applyBorder="1" applyAlignment="1">
      <alignment horizontal="center" vertical="center"/>
    </xf>
    <xf numFmtId="3" fontId="29" fillId="7" borderId="48" xfId="0" applyNumberFormat="1" applyFont="1" applyFill="1" applyBorder="1" applyAlignment="1">
      <alignment horizontal="center" vertical="center" wrapText="1"/>
    </xf>
    <xf numFmtId="0" fontId="13" fillId="0" borderId="0" xfId="7" applyFont="1" applyAlignment="1">
      <alignment horizontal="center" vertical="center"/>
    </xf>
    <xf numFmtId="0" fontId="36" fillId="8" borderId="0" xfId="7" applyFont="1" applyFill="1" applyAlignment="1">
      <alignment horizontal="center" vertical="center"/>
    </xf>
    <xf numFmtId="166" fontId="16" fillId="0" borderId="10" xfId="35" applyNumberFormat="1" applyFont="1" applyBorder="1" applyAlignment="1">
      <alignment horizontal="center" vertical="center" wrapText="1"/>
    </xf>
    <xf numFmtId="166" fontId="16" fillId="0" borderId="1" xfId="6" applyNumberFormat="1" applyFont="1" applyBorder="1" applyAlignment="1">
      <alignment horizontal="center" vertical="center"/>
    </xf>
    <xf numFmtId="166" fontId="20" fillId="0" borderId="3" xfId="5" applyNumberFormat="1" applyFont="1" applyBorder="1" applyAlignment="1">
      <alignment horizontal="center" vertical="center"/>
    </xf>
    <xf numFmtId="0" fontId="36" fillId="8" borderId="0" xfId="5" applyFont="1" applyFill="1" applyAlignment="1">
      <alignment horizontal="center" vertical="center"/>
    </xf>
    <xf numFmtId="166" fontId="16" fillId="0" borderId="56" xfId="20" applyNumberFormat="1" applyFont="1" applyBorder="1" applyAlignment="1" applyProtection="1">
      <alignment horizontal="center" vertical="center" wrapText="1" readingOrder="1"/>
      <protection locked="0"/>
    </xf>
    <xf numFmtId="166" fontId="16" fillId="0" borderId="58" xfId="20" applyNumberFormat="1" applyFont="1" applyBorder="1" applyAlignment="1" applyProtection="1">
      <alignment horizontal="center" vertical="center" wrapText="1" readingOrder="1"/>
      <protection locked="0"/>
    </xf>
    <xf numFmtId="166" fontId="17" fillId="0" borderId="0" xfId="14" applyNumberFormat="1" applyFont="1" applyFill="1" applyAlignment="1">
      <alignment horizontal="center" vertical="center"/>
    </xf>
    <xf numFmtId="166" fontId="16" fillId="0" borderId="0" xfId="5" applyNumberFormat="1" applyFont="1" applyAlignment="1">
      <alignment horizontal="center" vertical="center"/>
    </xf>
    <xf numFmtId="166" fontId="0" fillId="0" borderId="0" xfId="14" applyNumberFormat="1" applyFont="1" applyFill="1" applyAlignment="1">
      <alignment horizontal="center" vertical="center"/>
    </xf>
    <xf numFmtId="166" fontId="12" fillId="0" borderId="0" xfId="5" applyNumberFormat="1" applyFont="1" applyAlignment="1">
      <alignment horizontal="center" vertical="center"/>
    </xf>
    <xf numFmtId="0" fontId="37" fillId="8" borderId="0" xfId="22" applyFont="1" applyFill="1" applyAlignment="1">
      <alignment horizontal="center" vertical="center"/>
    </xf>
    <xf numFmtId="166" fontId="25" fillId="0" borderId="0" xfId="27" applyNumberFormat="1" applyFont="1" applyAlignment="1">
      <alignment vertical="center"/>
    </xf>
    <xf numFmtId="43" fontId="25" fillId="0" borderId="0" xfId="39" applyFont="1" applyAlignment="1">
      <alignment vertical="center"/>
    </xf>
    <xf numFmtId="0" fontId="38" fillId="14" borderId="65" xfId="38" applyFont="1" applyFill="1" applyBorder="1" applyAlignment="1">
      <alignment horizontal="centerContinuous" vertical="center" wrapText="1"/>
    </xf>
    <xf numFmtId="0" fontId="26" fillId="0" borderId="57" xfId="5" applyFont="1" applyBorder="1" applyAlignment="1">
      <alignment vertical="center" wrapText="1"/>
    </xf>
    <xf numFmtId="0" fontId="39" fillId="10" borderId="48" xfId="0" applyFont="1" applyFill="1" applyBorder="1" applyAlignment="1">
      <alignment horizontal="right" vertical="center" wrapText="1"/>
    </xf>
    <xf numFmtId="1" fontId="28" fillId="11" borderId="52" xfId="0" applyNumberFormat="1" applyFont="1" applyFill="1" applyBorder="1" applyAlignment="1">
      <alignment horizontal="centerContinuous" vertical="center" wrapText="1"/>
    </xf>
    <xf numFmtId="3" fontId="28" fillId="11" borderId="52" xfId="0" applyNumberFormat="1" applyFont="1" applyFill="1" applyBorder="1" applyAlignment="1">
      <alignment horizontal="centerContinuous" vertical="center" wrapText="1"/>
    </xf>
    <xf numFmtId="0" fontId="40" fillId="11" borderId="52" xfId="0" applyFont="1" applyFill="1" applyBorder="1" applyAlignment="1">
      <alignment horizontal="centerContinuous" vertical="center" wrapText="1"/>
    </xf>
    <xf numFmtId="0" fontId="39" fillId="10" borderId="48" xfId="0" applyFont="1" applyFill="1" applyBorder="1" applyAlignment="1">
      <alignment horizontal="center" vertical="center" wrapText="1"/>
    </xf>
    <xf numFmtId="3" fontId="29" fillId="5" borderId="48" xfId="0" applyNumberFormat="1" applyFont="1" applyFill="1" applyBorder="1" applyAlignment="1">
      <alignment horizontal="center" vertical="center" wrapText="1"/>
    </xf>
    <xf numFmtId="2" fontId="15" fillId="19" borderId="5" xfId="6" applyNumberFormat="1" applyFont="1" applyFill="1" applyBorder="1" applyAlignment="1">
      <alignment horizontal="center" vertical="center"/>
    </xf>
    <xf numFmtId="0" fontId="16" fillId="19" borderId="5" xfId="6" applyFont="1" applyFill="1" applyBorder="1" applyAlignment="1">
      <alignment horizontal="center" vertical="center"/>
    </xf>
    <xf numFmtId="0" fontId="33" fillId="19" borderId="65" xfId="38" applyFont="1" applyFill="1" applyBorder="1" applyAlignment="1">
      <alignment horizontal="center" vertical="center" wrapText="1"/>
    </xf>
    <xf numFmtId="0" fontId="22" fillId="0" borderId="1" xfId="6" applyFont="1" applyBorder="1" applyAlignment="1">
      <alignment horizontal="left" vertical="center" wrapText="1"/>
    </xf>
    <xf numFmtId="0" fontId="22" fillId="0" borderId="1" xfId="6" applyFont="1" applyBorder="1" applyAlignment="1">
      <alignment horizontal="center" vertical="center"/>
    </xf>
    <xf numFmtId="43" fontId="22" fillId="0" borderId="1" xfId="6" applyNumberFormat="1" applyFont="1" applyBorder="1" applyAlignment="1">
      <alignment horizontal="center" vertical="center" wrapText="1"/>
    </xf>
    <xf numFmtId="0" fontId="41" fillId="15" borderId="65" xfId="38" applyFont="1" applyFill="1" applyBorder="1" applyAlignment="1">
      <alignment horizontal="center" vertical="center" wrapText="1"/>
    </xf>
    <xf numFmtId="0" fontId="12" fillId="0" borderId="57" xfId="5" applyFont="1" applyBorder="1" applyAlignment="1">
      <alignment vertical="center" wrapText="1"/>
    </xf>
    <xf numFmtId="0" fontId="15" fillId="19" borderId="44" xfId="35" applyFont="1" applyFill="1" applyBorder="1" applyAlignment="1">
      <alignment horizontal="center" vertical="center" wrapText="1"/>
    </xf>
    <xf numFmtId="0" fontId="16" fillId="19" borderId="44" xfId="35" applyFont="1" applyFill="1" applyBorder="1" applyAlignment="1">
      <alignment horizontal="center" vertical="center" wrapText="1"/>
    </xf>
    <xf numFmtId="0" fontId="16" fillId="19" borderId="44" xfId="20" applyFont="1" applyFill="1" applyBorder="1" applyAlignment="1">
      <alignment horizontal="center" vertical="center"/>
    </xf>
    <xf numFmtId="0" fontId="16" fillId="19" borderId="44" xfId="20" applyFont="1" applyFill="1" applyBorder="1" applyAlignment="1">
      <alignment horizontal="center" vertical="center" wrapText="1" readingOrder="1"/>
    </xf>
    <xf numFmtId="0" fontId="15" fillId="19" borderId="44" xfId="35" applyFont="1" applyFill="1" applyBorder="1" applyAlignment="1">
      <alignment horizontal="center" vertical="center"/>
    </xf>
    <xf numFmtId="0" fontId="15" fillId="19" borderId="44" xfId="20" applyFont="1" applyFill="1" applyBorder="1" applyAlignment="1">
      <alignment horizontal="center" vertical="center" wrapText="1" readingOrder="1"/>
    </xf>
    <xf numFmtId="0" fontId="15" fillId="19" borderId="43" xfId="35" applyFont="1" applyFill="1" applyBorder="1" applyAlignment="1">
      <alignment horizontal="center" vertical="center" wrapText="1"/>
    </xf>
    <xf numFmtId="2" fontId="15" fillId="0" borderId="41" xfId="20" applyNumberFormat="1" applyFont="1" applyBorder="1" applyAlignment="1">
      <alignment horizontal="center" vertical="center" wrapText="1" readingOrder="1"/>
    </xf>
    <xf numFmtId="0" fontId="16" fillId="0" borderId="5" xfId="20" applyFont="1" applyBorder="1" applyAlignment="1">
      <alignment horizontal="center" vertical="center" wrapText="1" readingOrder="1"/>
    </xf>
    <xf numFmtId="2" fontId="15" fillId="0" borderId="5" xfId="6" applyNumberFormat="1" applyFont="1" applyBorder="1" applyAlignment="1">
      <alignment horizontal="center" vertical="center"/>
    </xf>
    <xf numFmtId="0" fontId="15" fillId="0" borderId="5" xfId="6" applyFont="1" applyBorder="1" applyAlignment="1">
      <alignment horizontal="center" vertical="center" wrapText="1"/>
    </xf>
    <xf numFmtId="0" fontId="16" fillId="0" borderId="5" xfId="6" applyFont="1" applyBorder="1" applyAlignment="1">
      <alignment horizontal="center" vertical="center"/>
    </xf>
    <xf numFmtId="0" fontId="15" fillId="0" borderId="5" xfId="6" applyFont="1" applyBorder="1" applyAlignment="1">
      <alignment horizontal="center" vertical="center"/>
    </xf>
    <xf numFmtId="2" fontId="15" fillId="0" borderId="5" xfId="6" applyNumberFormat="1" applyFont="1" applyBorder="1" applyAlignment="1">
      <alignment horizontal="center" vertical="center" wrapText="1"/>
    </xf>
    <xf numFmtId="0" fontId="16" fillId="0" borderId="5" xfId="6" applyFont="1" applyBorder="1" applyAlignment="1">
      <alignment horizontal="center" vertical="center" wrapText="1"/>
    </xf>
    <xf numFmtId="0" fontId="15" fillId="19" borderId="5" xfId="6" applyFont="1" applyFill="1" applyBorder="1" applyAlignment="1">
      <alignment horizontal="center" vertical="center" wrapText="1"/>
    </xf>
    <xf numFmtId="0" fontId="15" fillId="19" borderId="5" xfId="6" applyFont="1" applyFill="1" applyBorder="1" applyAlignment="1">
      <alignment horizontal="center" vertical="center"/>
    </xf>
    <xf numFmtId="0" fontId="16" fillId="19" borderId="5" xfId="6" applyFont="1" applyFill="1" applyBorder="1" applyAlignment="1">
      <alignment horizontal="center" vertical="center" wrapText="1"/>
    </xf>
    <xf numFmtId="0" fontId="44" fillId="20" borderId="44" xfId="35" applyFont="1" applyFill="1" applyBorder="1" applyAlignment="1">
      <alignment horizontal="center" vertical="center" wrapText="1"/>
    </xf>
    <xf numFmtId="0" fontId="45" fillId="20" borderId="44" xfId="35" applyFont="1" applyFill="1" applyBorder="1" applyAlignment="1">
      <alignment horizontal="center" vertical="center" wrapText="1"/>
    </xf>
    <xf numFmtId="2" fontId="45" fillId="20" borderId="44" xfId="35" applyNumberFormat="1" applyFont="1" applyFill="1" applyBorder="1" applyAlignment="1">
      <alignment horizontal="center" vertical="center" wrapText="1"/>
    </xf>
    <xf numFmtId="0" fontId="44" fillId="20" borderId="44" xfId="20" applyFont="1" applyFill="1" applyBorder="1" applyAlignment="1">
      <alignment horizontal="center" vertical="center"/>
    </xf>
    <xf numFmtId="0" fontId="45" fillId="20" borderId="44" xfId="20" quotePrefix="1" applyFont="1" applyFill="1" applyBorder="1" applyAlignment="1">
      <alignment horizontal="center" vertical="center"/>
    </xf>
    <xf numFmtId="2" fontId="45" fillId="20" borderId="44" xfId="20" applyNumberFormat="1" applyFont="1" applyFill="1" applyBorder="1" applyAlignment="1">
      <alignment horizontal="center" vertical="center" wrapText="1" readingOrder="1"/>
    </xf>
    <xf numFmtId="0" fontId="44" fillId="20" borderId="44" xfId="20" applyFont="1" applyFill="1" applyBorder="1" applyAlignment="1">
      <alignment horizontal="center" vertical="center" wrapText="1" readingOrder="1"/>
    </xf>
    <xf numFmtId="0" fontId="44" fillId="20" borderId="45" xfId="20" applyFont="1" applyFill="1" applyBorder="1" applyAlignment="1">
      <alignment horizontal="center" vertical="center" wrapText="1" readingOrder="1"/>
    </xf>
    <xf numFmtId="166" fontId="16" fillId="0" borderId="11" xfId="14" applyNumberFormat="1" applyFont="1" applyFill="1" applyBorder="1" applyAlignment="1">
      <alignment horizontal="center" vertical="center"/>
    </xf>
    <xf numFmtId="166" fontId="17" fillId="0" borderId="0" xfId="14" applyNumberFormat="1" applyFont="1" applyAlignment="1">
      <alignment horizontal="center" vertical="center"/>
    </xf>
    <xf numFmtId="0" fontId="47" fillId="0" borderId="12" xfId="5" applyFont="1" applyBorder="1" applyAlignment="1">
      <alignment horizontal="left" vertical="center" wrapText="1" readingOrder="1"/>
    </xf>
    <xf numFmtId="2" fontId="20" fillId="21" borderId="44" xfId="35" applyNumberFormat="1" applyFont="1" applyFill="1" applyBorder="1" applyAlignment="1">
      <alignment horizontal="center" vertical="center" wrapText="1"/>
    </xf>
    <xf numFmtId="0" fontId="17" fillId="21" borderId="44" xfId="35" applyFont="1" applyFill="1" applyBorder="1" applyAlignment="1">
      <alignment horizontal="center" vertical="center" wrapText="1"/>
    </xf>
    <xf numFmtId="0" fontId="15" fillId="21" borderId="44" xfId="35" applyFont="1" applyFill="1" applyBorder="1" applyAlignment="1">
      <alignment horizontal="center" vertical="center" wrapText="1"/>
    </xf>
    <xf numFmtId="0" fontId="16" fillId="21" borderId="44" xfId="20" applyFont="1" applyFill="1" applyBorder="1" applyAlignment="1">
      <alignment horizontal="center" vertical="center"/>
    </xf>
    <xf numFmtId="2" fontId="15" fillId="21" borderId="44" xfId="20" applyNumberFormat="1" applyFont="1" applyFill="1" applyBorder="1" applyAlignment="1">
      <alignment horizontal="center" vertical="center" wrapText="1" readingOrder="1"/>
    </xf>
    <xf numFmtId="0" fontId="16" fillId="21" borderId="44" xfId="20" applyFont="1" applyFill="1" applyBorder="1" applyAlignment="1">
      <alignment horizontal="center" vertical="center" wrapText="1" readingOrder="1"/>
    </xf>
    <xf numFmtId="0" fontId="16" fillId="21" borderId="44" xfId="35" applyFont="1" applyFill="1" applyBorder="1" applyAlignment="1">
      <alignment horizontal="center" vertical="center" wrapText="1"/>
    </xf>
    <xf numFmtId="0" fontId="43" fillId="21" borderId="44" xfId="20" applyFont="1" applyFill="1" applyBorder="1" applyAlignment="1">
      <alignment horizontal="center" vertical="center" wrapText="1" readingOrder="1"/>
    </xf>
    <xf numFmtId="0" fontId="7" fillId="21" borderId="6" xfId="13" applyFont="1" applyFill="1" applyBorder="1" applyAlignment="1">
      <alignment horizontal="center" vertical="center"/>
    </xf>
    <xf numFmtId="0" fontId="5" fillId="21" borderId="7" xfId="13" applyFont="1" applyFill="1" applyBorder="1" applyAlignment="1">
      <alignment horizontal="center" vertical="center" wrapText="1"/>
    </xf>
    <xf numFmtId="0" fontId="27" fillId="0" borderId="15" xfId="0" applyFont="1" applyBorder="1" applyAlignment="1">
      <alignment horizontal="center" vertical="center"/>
    </xf>
    <xf numFmtId="0" fontId="27" fillId="0" borderId="16" xfId="0" applyFont="1" applyBorder="1" applyAlignment="1">
      <alignment horizontal="center" vertical="center"/>
    </xf>
    <xf numFmtId="0" fontId="27" fillId="0" borderId="17" xfId="0" applyFont="1" applyBorder="1" applyAlignment="1">
      <alignment horizontal="center" vertical="center"/>
    </xf>
    <xf numFmtId="0" fontId="18" fillId="2" borderId="20" xfId="0" applyFont="1" applyFill="1" applyBorder="1" applyAlignment="1">
      <alignment horizontal="center" vertical="center"/>
    </xf>
    <xf numFmtId="0" fontId="18" fillId="2" borderId="21" xfId="0" applyFont="1" applyFill="1" applyBorder="1" applyAlignment="1">
      <alignment horizontal="center" vertical="center"/>
    </xf>
    <xf numFmtId="0" fontId="18" fillId="2" borderId="22" xfId="0" applyFont="1" applyFill="1" applyBorder="1" applyAlignment="1">
      <alignment horizontal="center" vertical="center"/>
    </xf>
    <xf numFmtId="0" fontId="24" fillId="2" borderId="18" xfId="25" applyFont="1" applyFill="1" applyBorder="1" applyAlignment="1">
      <alignment horizontal="center" vertical="center" wrapText="1"/>
    </xf>
    <xf numFmtId="0" fontId="24" fillId="2" borderId="0" xfId="25" applyFont="1" applyFill="1" applyAlignment="1">
      <alignment horizontal="center" vertical="center" wrapText="1"/>
    </xf>
    <xf numFmtId="0" fontId="24" fillId="2" borderId="37" xfId="25" applyFont="1" applyFill="1" applyBorder="1" applyAlignment="1">
      <alignment horizontal="center" vertical="center" wrapText="1"/>
    </xf>
    <xf numFmtId="0" fontId="18" fillId="2" borderId="34"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2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26" xfId="0" applyFont="1" applyFill="1" applyBorder="1" applyAlignment="1">
      <alignment horizontal="center" vertical="center"/>
    </xf>
    <xf numFmtId="0" fontId="20" fillId="0" borderId="31" xfId="7" applyFont="1" applyBorder="1" applyAlignment="1">
      <alignment horizontal="center" vertical="center"/>
    </xf>
    <xf numFmtId="0" fontId="20" fillId="0" borderId="32" xfId="7" applyFont="1" applyBorder="1" applyAlignment="1">
      <alignment horizontal="center" vertical="center"/>
    </xf>
  </cellXfs>
  <cellStyles count="40">
    <cellStyle name="Comma" xfId="39" builtinId="3"/>
    <cellStyle name="Comma 12" xfId="3" xr:uid="{00000000-0005-0000-0000-000001000000}"/>
    <cellStyle name="Comma 12 2" xfId="14" xr:uid="{00000000-0005-0000-0000-000002000000}"/>
    <cellStyle name="Comma 16" xfId="19" xr:uid="{00000000-0005-0000-0000-000003000000}"/>
    <cellStyle name="Comma 2" xfId="9" xr:uid="{00000000-0005-0000-0000-000004000000}"/>
    <cellStyle name="Comma 2 2" xfId="17" xr:uid="{00000000-0005-0000-0000-000005000000}"/>
    <cellStyle name="Comma 2 3" xfId="32" xr:uid="{00000000-0005-0000-0000-000006000000}"/>
    <cellStyle name="Comma 22 2" xfId="26" xr:uid="{00000000-0005-0000-0000-000007000000}"/>
    <cellStyle name="Comma 3" xfId="33" xr:uid="{00000000-0005-0000-0000-000008000000}"/>
    <cellStyle name="Comma 3 2 2 2 2" xfId="16" xr:uid="{00000000-0005-0000-0000-000009000000}"/>
    <cellStyle name="Comma 3 3 27" xfId="15" xr:uid="{00000000-0005-0000-0000-00000A000000}"/>
    <cellStyle name="Comma 4" xfId="34" xr:uid="{00000000-0005-0000-0000-00000B000000}"/>
    <cellStyle name="Comma 4 4" xfId="11" xr:uid="{00000000-0005-0000-0000-00000C000000}"/>
    <cellStyle name="Comma 6" xfId="8" xr:uid="{00000000-0005-0000-0000-00000D000000}"/>
    <cellStyle name="Normal" xfId="0" builtinId="0"/>
    <cellStyle name="Normal - Style1 2" xfId="5" xr:uid="{00000000-0005-0000-0000-00000F000000}"/>
    <cellStyle name="Normal 10" xfId="20" xr:uid="{00000000-0005-0000-0000-000010000000}"/>
    <cellStyle name="Normal 10 2" xfId="22" xr:uid="{00000000-0005-0000-0000-000011000000}"/>
    <cellStyle name="Normal 12 2" xfId="24" xr:uid="{00000000-0005-0000-0000-000012000000}"/>
    <cellStyle name="Normal 2" xfId="7" xr:uid="{00000000-0005-0000-0000-000013000000}"/>
    <cellStyle name="Normal 2 10 10" xfId="27" xr:uid="{00000000-0005-0000-0000-000014000000}"/>
    <cellStyle name="Normal 2 2" xfId="35" xr:uid="{00000000-0005-0000-0000-000015000000}"/>
    <cellStyle name="Normal 2 2 2 2" xfId="6" xr:uid="{00000000-0005-0000-0000-000016000000}"/>
    <cellStyle name="Normal 2 24" xfId="25" xr:uid="{00000000-0005-0000-0000-000017000000}"/>
    <cellStyle name="Normal 3" xfId="31" xr:uid="{00000000-0005-0000-0000-000018000000}"/>
    <cellStyle name="Normal 35" xfId="2" xr:uid="{00000000-0005-0000-0000-000019000000}"/>
    <cellStyle name="Normal 35 2" xfId="4" xr:uid="{00000000-0005-0000-0000-00001A000000}"/>
    <cellStyle name="Normal 4" xfId="36" xr:uid="{00000000-0005-0000-0000-00001B000000}"/>
    <cellStyle name="Normal 4 2" xfId="23" xr:uid="{00000000-0005-0000-0000-00001C000000}"/>
    <cellStyle name="Normal 4 3" xfId="37" xr:uid="{00000000-0005-0000-0000-00001D000000}"/>
    <cellStyle name="Normal 48" xfId="21" xr:uid="{00000000-0005-0000-0000-00001E000000}"/>
    <cellStyle name="Normal 5" xfId="38" xr:uid="{8CF2EA0F-72C5-47B8-B69C-92E9D4161BE0}"/>
    <cellStyle name="Normal 6" xfId="13" xr:uid="{00000000-0005-0000-0000-00001F000000}"/>
    <cellStyle name="Normal 6 2" xfId="10" xr:uid="{00000000-0005-0000-0000-000020000000}"/>
    <cellStyle name="Normal 9" xfId="18" xr:uid="{00000000-0005-0000-0000-000021000000}"/>
    <cellStyle name="Normal 9 2" xfId="29" xr:uid="{00000000-0005-0000-0000-000022000000}"/>
    <cellStyle name="Normal 9 2 2" xfId="28" xr:uid="{00000000-0005-0000-0000-000023000000}"/>
    <cellStyle name="Percent" xfId="1" builtinId="5"/>
    <cellStyle name="Percent 2" xfId="30" xr:uid="{00000000-0005-0000-0000-000026000000}"/>
    <cellStyle name="Percent 5" xfId="12" xr:uid="{00000000-0005-0000-0000-000027000000}"/>
  </cellStyles>
  <dxfs count="103">
    <dxf>
      <border outline="0">
        <top style="thin">
          <color rgb="FF7F8C8D"/>
        </top>
        <bottom style="thin">
          <color rgb="FF7F8C8D"/>
        </bottom>
      </border>
    </dxf>
    <dxf>
      <border outline="0">
        <bottom style="thin">
          <color rgb="FF7F8C8D"/>
        </bottom>
      </border>
    </dxf>
    <dxf>
      <font>
        <b/>
        <i val="0"/>
        <strike val="0"/>
        <condense val="0"/>
        <extend val="0"/>
        <outline val="0"/>
        <shadow val="0"/>
        <u val="none"/>
        <vertAlign val="baseline"/>
        <sz val="11"/>
        <color rgb="FFFFFFFF"/>
        <name val="Arial"/>
        <family val="2"/>
        <scheme val="none"/>
      </font>
      <fill>
        <patternFill patternType="solid">
          <fgColor indexed="64"/>
          <bgColor rgb="FF1B2631"/>
        </patternFill>
      </fill>
      <alignment horizontal="center" vertical="center" textRotation="0" wrapText="1" indent="0" justifyLastLine="0" shrinkToFit="0" readingOrder="0"/>
      <border diagonalUp="0" diagonalDown="0" outline="0">
        <left style="thin">
          <color rgb="FF7F8C8D"/>
        </left>
        <right style="thin">
          <color rgb="FF7F8C8D"/>
        </right>
        <top/>
        <bottom/>
      </border>
    </dxf>
    <dxf>
      <font>
        <b/>
        <i val="0"/>
        <strike val="0"/>
        <condense val="0"/>
        <extend val="0"/>
        <outline val="0"/>
        <shadow val="0"/>
        <u val="none"/>
        <vertAlign val="baseline"/>
        <sz val="11"/>
        <color rgb="FF7B241C"/>
        <name val="Arial"/>
        <family val="2"/>
        <scheme val="none"/>
      </font>
      <numFmt numFmtId="4" formatCode="#,##0.00"/>
      <fill>
        <patternFill patternType="solid">
          <fgColor indexed="64"/>
          <bgColor rgb="FFFDEDEC"/>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i val="0"/>
        <strike val="0"/>
        <condense val="0"/>
        <extend val="0"/>
        <outline val="0"/>
        <shadow val="0"/>
        <u val="none"/>
        <vertAlign val="baseline"/>
        <sz val="11"/>
        <color rgb="FF7B241C"/>
        <name val="Arial"/>
        <family val="2"/>
        <scheme val="none"/>
      </font>
      <numFmt numFmtId="4" formatCode="#,##0.00"/>
      <fill>
        <patternFill patternType="solid">
          <fgColor indexed="64"/>
          <bgColor rgb="FFFDEDEC"/>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i val="0"/>
        <strike val="0"/>
        <condense val="0"/>
        <extend val="0"/>
        <outline val="0"/>
        <shadow val="0"/>
        <u val="none"/>
        <vertAlign val="baseline"/>
        <sz val="11"/>
        <color rgb="FF000000"/>
        <name val="Arial"/>
        <family val="2"/>
        <scheme val="none"/>
      </font>
      <numFmt numFmtId="4" formatCode="#,##0.00"/>
      <fill>
        <patternFill patternType="solid">
          <fgColor indexed="64"/>
          <bgColor rgb="FFEBF5FB"/>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numFmt numFmtId="169" formatCode="#,##0.000"/>
      <fill>
        <patternFill patternType="solid">
          <fgColor indexed="64"/>
          <bgColor rgb="FFD6EAF8"/>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right"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i val="0"/>
        <strike val="0"/>
        <condense val="0"/>
        <extend val="0"/>
        <outline val="0"/>
        <shadow val="0"/>
        <u val="none"/>
        <vertAlign val="baseline"/>
        <sz val="11"/>
        <color rgb="FF000000"/>
        <name val="Arial"/>
        <family val="2"/>
        <scheme val="none"/>
      </font>
      <numFmt numFmtId="4" formatCode="#,##0.00"/>
      <fill>
        <patternFill patternType="solid">
          <fgColor indexed="64"/>
          <bgColor rgb="FFEBF5FB"/>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numFmt numFmtId="169" formatCode="#,##0.000"/>
      <fill>
        <patternFill patternType="solid">
          <fgColor indexed="64"/>
          <bgColor rgb="FFD6EAF8"/>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right"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right"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numFmt numFmtId="169" formatCode="#,##0.000"/>
      <fill>
        <patternFill patternType="solid">
          <fgColor indexed="64"/>
          <bgColor rgb="FFD6EAF8"/>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right"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left style="thin">
          <color rgb="FF7F8C8D"/>
        </left>
        <right style="thin">
          <color rgb="FF7F8C8D"/>
        </right>
        <top style="thin">
          <color rgb="FF7F8C8D"/>
        </top>
        <bottom style="thin">
          <color rgb="FF7F8C8D"/>
        </bottom>
        <vertical/>
        <horizontal/>
      </border>
    </dxf>
    <dxf>
      <border outline="0">
        <top style="thin">
          <color rgb="FF7F8C8D"/>
        </top>
        <bottom style="thin">
          <color rgb="FF7F8C8D"/>
        </bottom>
      </border>
    </dxf>
    <dxf>
      <border outline="0">
        <bottom style="thin">
          <color rgb="FF7F8C8D"/>
        </bottom>
      </border>
    </dxf>
    <dxf>
      <font>
        <b/>
        <i val="0"/>
        <strike val="0"/>
        <condense val="0"/>
        <extend val="0"/>
        <outline val="0"/>
        <shadow val="0"/>
        <u val="none"/>
        <vertAlign val="baseline"/>
        <sz val="11"/>
        <color rgb="FFFFFFFF"/>
        <name val="Arial"/>
        <family val="2"/>
        <scheme val="none"/>
      </font>
      <fill>
        <patternFill patternType="solid">
          <fgColor indexed="64"/>
          <bgColor rgb="FF1B2631"/>
        </patternFill>
      </fill>
      <alignment horizontal="center" vertical="center" textRotation="0" wrapText="1" indent="0" justifyLastLine="0" shrinkToFit="0" readingOrder="0"/>
      <border diagonalUp="0" diagonalDown="0" outline="0">
        <left style="thin">
          <color rgb="FF7F8C8D"/>
        </left>
        <right style="thin">
          <color rgb="FF7F8C8D"/>
        </right>
        <top/>
        <bottom/>
      </border>
    </dxf>
    <dxf>
      <font>
        <b/>
        <i val="0"/>
        <strike val="0"/>
        <condense val="0"/>
        <extend val="0"/>
        <outline val="0"/>
        <shadow val="0"/>
        <u val="none"/>
        <vertAlign val="baseline"/>
        <sz val="11"/>
        <color rgb="FF7B241C"/>
        <name val="Arial"/>
        <family val="2"/>
        <scheme val="none"/>
      </font>
      <numFmt numFmtId="4" formatCode="#,##0.00"/>
      <fill>
        <patternFill patternType="solid">
          <fgColor indexed="64"/>
          <bgColor rgb="FFFDEDEC"/>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i val="0"/>
        <strike val="0"/>
        <condense val="0"/>
        <extend val="0"/>
        <outline val="0"/>
        <shadow val="0"/>
        <u val="none"/>
        <vertAlign val="baseline"/>
        <sz val="11"/>
        <color rgb="FF7B241C"/>
        <name val="Arial"/>
        <family val="2"/>
        <scheme val="none"/>
      </font>
      <numFmt numFmtId="4" formatCode="#,##0.00"/>
      <fill>
        <patternFill patternType="solid">
          <fgColor indexed="64"/>
          <bgColor rgb="FFFDEDEC"/>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i val="0"/>
        <strike val="0"/>
        <condense val="0"/>
        <extend val="0"/>
        <outline val="0"/>
        <shadow val="0"/>
        <u val="none"/>
        <vertAlign val="baseline"/>
        <sz val="11"/>
        <color rgb="FF000000"/>
        <name val="Arial"/>
        <family val="2"/>
        <scheme val="none"/>
      </font>
      <numFmt numFmtId="4" formatCode="#,##0.00"/>
      <fill>
        <patternFill patternType="solid">
          <fgColor indexed="64"/>
          <bgColor rgb="FFEBF5FB"/>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numFmt numFmtId="169" formatCode="#,##0.000"/>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i val="0"/>
        <strike val="0"/>
        <condense val="0"/>
        <extend val="0"/>
        <outline val="0"/>
        <shadow val="0"/>
        <u val="none"/>
        <vertAlign val="baseline"/>
        <sz val="11"/>
        <color rgb="FF000000"/>
        <name val="Arial"/>
        <family val="2"/>
        <scheme val="none"/>
      </font>
      <numFmt numFmtId="4" formatCode="#,##0.00"/>
      <fill>
        <patternFill patternType="solid">
          <fgColor indexed="64"/>
          <bgColor rgb="FFEBF5FB"/>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numFmt numFmtId="169" formatCode="#,##0.000"/>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i val="0"/>
        <strike val="0"/>
        <condense val="0"/>
        <extend val="0"/>
        <outline val="0"/>
        <shadow val="0"/>
        <u val="none"/>
        <vertAlign val="baseline"/>
        <sz val="11"/>
        <color rgb="FF000000"/>
        <name val="Arial"/>
        <family val="2"/>
        <scheme val="none"/>
      </font>
      <numFmt numFmtId="4" formatCode="#,##0.00"/>
      <fill>
        <patternFill patternType="solid">
          <fgColor indexed="64"/>
          <bgColor rgb="FFFFF9C4"/>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numFmt numFmtId="169" formatCode="#,##0.000"/>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font>
        <b val="0"/>
        <i val="0"/>
        <strike val="0"/>
        <condense val="0"/>
        <extend val="0"/>
        <outline val="0"/>
        <shadow val="0"/>
        <u val="none"/>
        <vertAlign val="baseline"/>
        <sz val="11"/>
        <color rgb="FF000000"/>
        <name val="Arial"/>
        <family val="2"/>
        <scheme val="none"/>
      </font>
      <fill>
        <patternFill patternType="solid">
          <fgColor indexed="64"/>
          <bgColor rgb="FFD6EAF8"/>
        </patternFill>
      </fill>
      <alignment horizontal="center" vertical="center" textRotation="0" wrapText="1" indent="0" justifyLastLine="0" shrinkToFit="0" readingOrder="0"/>
      <border diagonalUp="0" diagonalDown="0" outline="0">
        <left style="thin">
          <color rgb="FF7F8C8D"/>
        </left>
        <right style="thin">
          <color rgb="FF7F8C8D"/>
        </right>
        <top style="thin">
          <color rgb="FF7F8C8D"/>
        </top>
        <bottom style="thin">
          <color rgb="FF7F8C8D"/>
        </bottom>
      </border>
    </dxf>
    <dxf>
      <border outline="0">
        <top style="thin">
          <color rgb="FF7F8C8D"/>
        </top>
        <bottom style="thin">
          <color rgb="FF7F8C8D"/>
        </bottom>
      </border>
    </dxf>
    <dxf>
      <alignment horizontal="center" vertical="center" textRotation="0" indent="0" justifyLastLine="0" shrinkToFit="0" readingOrder="0"/>
    </dxf>
    <dxf>
      <border outline="0">
        <bottom style="thin">
          <color rgb="FF7F8C8D"/>
        </bottom>
      </border>
    </dxf>
    <dxf>
      <font>
        <b/>
        <i val="0"/>
        <strike val="0"/>
        <condense val="0"/>
        <extend val="0"/>
        <outline val="0"/>
        <shadow val="0"/>
        <u val="none"/>
        <vertAlign val="baseline"/>
        <sz val="11"/>
        <color rgb="FFFFFFFF"/>
        <name val="Arial"/>
        <family val="2"/>
        <scheme val="none"/>
      </font>
      <fill>
        <patternFill patternType="solid">
          <fgColor indexed="64"/>
          <bgColor rgb="FF1B2631"/>
        </patternFill>
      </fill>
      <alignment horizontal="center" vertical="center" textRotation="0" wrapText="1" indent="0" justifyLastLine="0" shrinkToFit="0" readingOrder="0"/>
      <border diagonalUp="0" diagonalDown="0" outline="0">
        <left style="thin">
          <color rgb="FF7F8C8D"/>
        </left>
        <right style="thin">
          <color rgb="FF7F8C8D"/>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right style="hair">
          <color indexed="64"/>
        </right>
        <top style="hair">
          <color indexed="64"/>
        </top>
        <bottom style="hair">
          <color indexed="64"/>
        </bottom>
        <vertical/>
        <horizontal/>
      </border>
    </dxf>
    <dxf>
      <font>
        <b val="0"/>
        <i val="0"/>
        <strike val="0"/>
        <condense val="0"/>
        <extend val="0"/>
        <outline val="0"/>
        <shadow val="0"/>
        <u val="none"/>
        <vertAlign val="baseline"/>
        <sz val="12"/>
        <color auto="1"/>
        <name val="Calibri"/>
        <family val="2"/>
        <scheme val="minor"/>
      </font>
      <numFmt numFmtId="35" formatCode="_(* #,##0.00_);_(* \(#,##0.00\);_(* &quot;-&quot;??_);_(@_)"/>
      <alignment horizontal="center" vertical="center" textRotation="0" wrapText="1" indent="0" justifyLastLine="0" shrinkToFit="0" readingOrder="0"/>
      <border diagonalUp="0" diagonalDown="0" outline="0">
        <left style="thin">
          <color indexed="64"/>
        </left>
        <right style="thin">
          <color indexed="64"/>
        </right>
        <top style="hair">
          <color indexed="8"/>
        </top>
        <bottom style="thin">
          <color indexed="64"/>
        </bottom>
      </border>
    </dxf>
    <dxf>
      <font>
        <b val="0"/>
        <i val="0"/>
        <strike val="0"/>
        <condense val="0"/>
        <extend val="0"/>
        <outline val="0"/>
        <shadow val="0"/>
        <u val="none"/>
        <vertAlign val="baseline"/>
        <sz val="12"/>
        <color auto="1"/>
        <name val="Calibri"/>
        <family val="2"/>
        <scheme val="minor"/>
      </font>
      <numFmt numFmtId="166" formatCode="_(* #,##0_);_(* \(#,##0\);_(* &quot;-&quot;??_);_(@_)"/>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hair">
          <color indexed="8"/>
        </top>
        <bottom style="medium">
          <color indexed="8"/>
        </bottom>
      </border>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8"/>
        </top>
        <bottom style="medium">
          <color indexed="8"/>
        </bottom>
      </border>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8"/>
        </top>
        <bottom style="medium">
          <color indexed="8"/>
        </bottom>
      </border>
    </dxf>
    <dxf>
      <font>
        <b val="0"/>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1"/>
      <border diagonalUp="0" diagonalDown="0" outline="0">
        <left style="medium">
          <color indexed="64"/>
        </left>
        <right style="thin">
          <color indexed="64"/>
        </right>
        <top style="hair">
          <color indexed="8"/>
        </top>
        <bottom style="medium">
          <color indexed="8"/>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rgb="FFFFFFFF"/>
        <name val="Arial"/>
        <family val="2"/>
        <scheme val="none"/>
      </font>
      <fill>
        <patternFill patternType="solid">
          <fgColor rgb="FF555555"/>
          <bgColor rgb="FF784212"/>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auto="1"/>
        <name val="Arial"/>
        <family val="2"/>
        <scheme val="none"/>
      </font>
      <fill>
        <patternFill patternType="solid">
          <fgColor rgb="FFFADBD8"/>
          <bgColor rgb="FFE8DAEF"/>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rgb="FFFADBD8"/>
          <bgColor rgb="FFE8DAEF"/>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FFF3CD"/>
          <bgColor rgb="FFFFF9C4"/>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EAF2F8"/>
          <bgColor rgb="FFEBF5FB"/>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FFF3CD"/>
          <bgColor rgb="FFFFF9C4"/>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EBF5FB"/>
          <bgColor rgb="FFE8F8F5"/>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FFF3CD"/>
          <bgColor rgb="FFFFF9C4"/>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FFF3CD"/>
          <bgColor rgb="FFFFF9C4"/>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8" formatCode="0.0%"/>
      <fill>
        <patternFill patternType="solid">
          <fgColor rgb="FFFFF3CD"/>
          <bgColor rgb="FFFFF9C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rgb="FFFADBD8"/>
          <bgColor rgb="FFE8DAE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4" formatCode="#,##0.00"/>
      <fill>
        <patternFill patternType="solid">
          <fgColor rgb="FFD6EAF8"/>
          <bgColor rgb="FFD5F5E3"/>
        </patternFill>
      </fill>
      <alignment horizontal="righ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rgb="FFFADBD8"/>
          <bgColor rgb="FFE8DAE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2"/>
        <color auto="1"/>
        <name val="Calibri"/>
        <family val="2"/>
        <scheme val="minor"/>
      </font>
      <numFmt numFmtId="166" formatCode="_(* #,##0_);_(* \(#,##0\);_(* &quot;-&quot;??_);_(@_)"/>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Calibri"/>
        <family val="2"/>
        <scheme val="minor"/>
      </font>
      <numFmt numFmtId="166" formatCode="_(* #,##0_);_(* \(#,##0\);_(* &quot;-&quot;??_);_(@_)"/>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auto="1"/>
        <name val="Calibri"/>
        <family val="2"/>
        <scheme val="minor"/>
      </font>
      <alignment horizontal="right" vertical="center" textRotation="0" wrapText="1" indent="0" justifyLastLine="0" shrinkToFit="0" readingOrder="0"/>
      <border diagonalUp="0" diagonalDown="0">
        <left style="thin">
          <color indexed="8"/>
        </left>
        <right style="thin">
          <color indexed="64"/>
        </right>
        <top style="hair">
          <color indexed="64"/>
        </top>
        <bottom style="hair">
          <color indexed="64"/>
        </bottom>
        <vertical/>
        <horizontal/>
      </border>
    </dxf>
    <dxf>
      <font>
        <b/>
        <i val="0"/>
        <strike val="0"/>
        <condense val="0"/>
        <extend val="0"/>
        <outline val="0"/>
        <shadow val="0"/>
        <u val="none"/>
        <vertAlign val="baseline"/>
        <sz val="9"/>
        <color rgb="FFFFFFFF"/>
        <name val="Arial"/>
        <family val="2"/>
        <scheme val="none"/>
      </font>
      <fill>
        <patternFill patternType="solid">
          <fgColor rgb="FF2C3E50"/>
          <bgColor rgb="FF4A235A"/>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left/>
        <right style="hair">
          <color indexed="64"/>
        </right>
        <top style="hair">
          <color indexed="64"/>
        </top>
        <bottom style="hair">
          <color indexed="64"/>
        </bottom>
        <vertical/>
        <horizontal/>
      </border>
    </dxf>
    <dxf>
      <font>
        <b val="0"/>
        <i val="0"/>
        <strike val="0"/>
        <condense val="0"/>
        <extend val="0"/>
        <outline val="0"/>
        <shadow val="0"/>
        <u val="none"/>
        <vertAlign val="baseline"/>
        <sz val="12"/>
        <color auto="1"/>
        <name val="Calibri"/>
        <family val="2"/>
        <scheme val="minor"/>
      </font>
      <numFmt numFmtId="35" formatCode="_(* #,##0.00_);_(* \(#,##0.00\);_(* &quot;-&quot;??_);_(@_)"/>
      <alignment horizontal="center" vertical="center" textRotation="0" wrapText="1" indent="0" justifyLastLine="0" shrinkToFit="0" readingOrder="0"/>
      <border diagonalUp="0" diagonalDown="0">
        <left style="thin">
          <color indexed="64"/>
        </left>
        <right style="thin">
          <color indexed="64"/>
        </right>
        <top style="hair">
          <color indexed="8"/>
        </top>
        <bottom style="thin">
          <color indexed="64"/>
        </bottom>
        <vertical/>
        <horizontal/>
      </border>
    </dxf>
    <dxf>
      <font>
        <b val="0"/>
        <i val="0"/>
        <strike val="0"/>
        <condense val="0"/>
        <extend val="0"/>
        <outline val="0"/>
        <shadow val="0"/>
        <u val="none"/>
        <vertAlign val="baseline"/>
        <sz val="12"/>
        <color auto="1"/>
        <name val="Calibri"/>
        <family val="2"/>
        <scheme val="minor"/>
      </font>
      <numFmt numFmtId="166" formatCode="_(* #,##0_);_(* \(#,##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hair">
          <color indexed="8"/>
        </top>
        <bottom style="medium">
          <color indexed="8"/>
        </bottom>
        <vertical/>
        <horizontal/>
      </border>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8"/>
        </top>
        <bottom style="medium">
          <color indexed="8"/>
        </bottom>
        <vertical/>
        <horizontal/>
      </border>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8"/>
        </top>
        <bottom style="medium">
          <color indexed="8"/>
        </bottom>
        <vertical/>
        <horizontal/>
      </border>
    </dxf>
    <dxf>
      <font>
        <b val="0"/>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1"/>
      <border diagonalUp="0" diagonalDown="0" outline="0">
        <left style="medium">
          <color indexed="64"/>
        </left>
        <right style="thin">
          <color indexed="64"/>
        </right>
        <top style="hair">
          <color indexed="8"/>
        </top>
        <bottom style="medium">
          <color indexed="8"/>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rgb="FFFFFFFF"/>
        <name val="Arial"/>
        <family val="2"/>
        <scheme val="none"/>
      </font>
      <fill>
        <patternFill patternType="solid">
          <fgColor rgb="FF555555"/>
          <bgColor rgb="FF784212"/>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123471</xdr:colOff>
      <xdr:row>0</xdr:row>
      <xdr:rowOff>162997</xdr:rowOff>
    </xdr:from>
    <xdr:to>
      <xdr:col>2</xdr:col>
      <xdr:colOff>1284270</xdr:colOff>
      <xdr:row>0</xdr:row>
      <xdr:rowOff>870449</xdr:rowOff>
    </xdr:to>
    <xdr:grpSp>
      <xdr:nvGrpSpPr>
        <xdr:cNvPr id="2" name="Group 1">
          <a:extLst>
            <a:ext uri="{FF2B5EF4-FFF2-40B4-BE49-F238E27FC236}">
              <a16:creationId xmlns:a16="http://schemas.microsoft.com/office/drawing/2014/main" id="{6C096660-7460-48FC-8E54-A524E602F865}"/>
            </a:ext>
          </a:extLst>
        </xdr:cNvPr>
        <xdr:cNvGrpSpPr/>
      </xdr:nvGrpSpPr>
      <xdr:grpSpPr>
        <a:xfrm>
          <a:off x="123471" y="162997"/>
          <a:ext cx="6614069" cy="707452"/>
          <a:chOff x="0" y="0"/>
          <a:chExt cx="6659325" cy="678180"/>
        </a:xfrm>
      </xdr:grpSpPr>
      <xdr:grpSp>
        <xdr:nvGrpSpPr>
          <xdr:cNvPr id="3" name="Group 2">
            <a:extLst>
              <a:ext uri="{FF2B5EF4-FFF2-40B4-BE49-F238E27FC236}">
                <a16:creationId xmlns:a16="http://schemas.microsoft.com/office/drawing/2014/main" id="{2BD86CDA-622F-BF69-875B-E7E2830C1BBA}"/>
              </a:ext>
            </a:extLst>
          </xdr:cNvPr>
          <xdr:cNvGrpSpPr/>
        </xdr:nvGrpSpPr>
        <xdr:grpSpPr>
          <a:xfrm>
            <a:off x="0" y="6350"/>
            <a:ext cx="2619846" cy="655523"/>
            <a:chOff x="0" y="0"/>
            <a:chExt cx="2620314" cy="655523"/>
          </a:xfrm>
        </xdr:grpSpPr>
        <xdr:pic>
          <xdr:nvPicPr>
            <xdr:cNvPr id="23" name="Picture 22">
              <a:extLst>
                <a:ext uri="{FF2B5EF4-FFF2-40B4-BE49-F238E27FC236}">
                  <a16:creationId xmlns:a16="http://schemas.microsoft.com/office/drawing/2014/main" id="{0AA82B0F-5DC6-93C5-CBCB-98B7A9810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6" y="0"/>
              <a:ext cx="2617888" cy="3048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4" name="docshapegroup10">
              <a:extLst>
                <a:ext uri="{FF2B5EF4-FFF2-40B4-BE49-F238E27FC236}">
                  <a16:creationId xmlns:a16="http://schemas.microsoft.com/office/drawing/2014/main" id="{E03F7451-8716-81F1-7734-92659540873D}"/>
                </a:ext>
              </a:extLst>
            </xdr:cNvPr>
            <xdr:cNvGrpSpPr>
              <a:grpSpLocks/>
            </xdr:cNvGrpSpPr>
          </xdr:nvGrpSpPr>
          <xdr:grpSpPr bwMode="auto">
            <a:xfrm>
              <a:off x="0" y="424383"/>
              <a:ext cx="2353032" cy="231140"/>
              <a:chOff x="0" y="424383"/>
              <a:chExt cx="4102" cy="364"/>
            </a:xfrm>
          </xdr:grpSpPr>
          <xdr:pic>
            <xdr:nvPicPr>
              <xdr:cNvPr id="25" name="docshape11">
                <a:extLst>
                  <a:ext uri="{FF2B5EF4-FFF2-40B4-BE49-F238E27FC236}">
                    <a16:creationId xmlns:a16="http://schemas.microsoft.com/office/drawing/2014/main" id="{21FEA8DD-111F-2B24-A33D-A15574EB11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384"/>
                <a:ext cx="367"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6" name="docshape12">
                <a:extLst>
                  <a:ext uri="{FF2B5EF4-FFF2-40B4-BE49-F238E27FC236}">
                    <a16:creationId xmlns:a16="http://schemas.microsoft.com/office/drawing/2014/main" id="{28E7645D-A4CA-A5B8-088D-D6AF27E9FB2B}"/>
                  </a:ext>
                </a:extLst>
              </xdr:cNvPr>
              <xdr:cNvSpPr>
                <a:spLocks/>
              </xdr:cNvSpPr>
            </xdr:nvSpPr>
            <xdr:spPr bwMode="auto">
              <a:xfrm>
                <a:off x="397" y="424387"/>
                <a:ext cx="17" cy="133"/>
              </a:xfrm>
              <a:custGeom>
                <a:avLst/>
                <a:gdLst>
                  <a:gd name="T0" fmla="+- 0 1030 1016"/>
                  <a:gd name="T1" fmla="*/ T0 w 17"/>
                  <a:gd name="T2" fmla="+- 0 1407 1370"/>
                  <a:gd name="T3" fmla="*/ 1407 h 133"/>
                  <a:gd name="T4" fmla="+- 0 1018 1016"/>
                  <a:gd name="T5" fmla="*/ T4 w 17"/>
                  <a:gd name="T6" fmla="+- 0 1407 1370"/>
                  <a:gd name="T7" fmla="*/ 1407 h 133"/>
                  <a:gd name="T8" fmla="+- 0 1018 1016"/>
                  <a:gd name="T9" fmla="*/ T8 w 17"/>
                  <a:gd name="T10" fmla="+- 0 1502 1370"/>
                  <a:gd name="T11" fmla="*/ 1502 h 133"/>
                  <a:gd name="T12" fmla="+- 0 1030 1016"/>
                  <a:gd name="T13" fmla="*/ T12 w 17"/>
                  <a:gd name="T14" fmla="+- 0 1502 1370"/>
                  <a:gd name="T15" fmla="*/ 1502 h 133"/>
                  <a:gd name="T16" fmla="+- 0 1030 1016"/>
                  <a:gd name="T17" fmla="*/ T16 w 17"/>
                  <a:gd name="T18" fmla="+- 0 1407 1370"/>
                  <a:gd name="T19" fmla="*/ 1407 h 133"/>
                  <a:gd name="T20" fmla="+- 0 1027 1016"/>
                  <a:gd name="T21" fmla="*/ T20 w 17"/>
                  <a:gd name="T22" fmla="+- 0 1370 1370"/>
                  <a:gd name="T23" fmla="*/ 1370 h 133"/>
                  <a:gd name="T24" fmla="+- 0 1021 1016"/>
                  <a:gd name="T25" fmla="*/ T24 w 17"/>
                  <a:gd name="T26" fmla="+- 0 1370 1370"/>
                  <a:gd name="T27" fmla="*/ 1370 h 133"/>
                  <a:gd name="T28" fmla="+- 0 1019 1016"/>
                  <a:gd name="T29" fmla="*/ T28 w 17"/>
                  <a:gd name="T30" fmla="+- 0 1371 1370"/>
                  <a:gd name="T31" fmla="*/ 1371 h 133"/>
                  <a:gd name="T32" fmla="+- 0 1016 1016"/>
                  <a:gd name="T33" fmla="*/ T32 w 17"/>
                  <a:gd name="T34" fmla="+- 0 1374 1370"/>
                  <a:gd name="T35" fmla="*/ 1374 h 133"/>
                  <a:gd name="T36" fmla="+- 0 1016 1016"/>
                  <a:gd name="T37" fmla="*/ T36 w 17"/>
                  <a:gd name="T38" fmla="+- 0 1376 1370"/>
                  <a:gd name="T39" fmla="*/ 1376 h 133"/>
                  <a:gd name="T40" fmla="+- 0 1016 1016"/>
                  <a:gd name="T41" fmla="*/ T40 w 17"/>
                  <a:gd name="T42" fmla="+- 0 1381 1370"/>
                  <a:gd name="T43" fmla="*/ 1381 h 133"/>
                  <a:gd name="T44" fmla="+- 0 1016 1016"/>
                  <a:gd name="T45" fmla="*/ T44 w 17"/>
                  <a:gd name="T46" fmla="+- 0 1383 1370"/>
                  <a:gd name="T47" fmla="*/ 1383 h 133"/>
                  <a:gd name="T48" fmla="+- 0 1019 1016"/>
                  <a:gd name="T49" fmla="*/ T48 w 17"/>
                  <a:gd name="T50" fmla="+- 0 1387 1370"/>
                  <a:gd name="T51" fmla="*/ 1387 h 133"/>
                  <a:gd name="T52" fmla="+- 0 1021 1016"/>
                  <a:gd name="T53" fmla="*/ T52 w 17"/>
                  <a:gd name="T54" fmla="+- 0 1387 1370"/>
                  <a:gd name="T55" fmla="*/ 1387 h 133"/>
                  <a:gd name="T56" fmla="+- 0 1027 1016"/>
                  <a:gd name="T57" fmla="*/ T56 w 17"/>
                  <a:gd name="T58" fmla="+- 0 1387 1370"/>
                  <a:gd name="T59" fmla="*/ 1387 h 133"/>
                  <a:gd name="T60" fmla="+- 0 1029 1016"/>
                  <a:gd name="T61" fmla="*/ T60 w 17"/>
                  <a:gd name="T62" fmla="+- 0 1387 1370"/>
                  <a:gd name="T63" fmla="*/ 1387 h 133"/>
                  <a:gd name="T64" fmla="+- 0 1032 1016"/>
                  <a:gd name="T65" fmla="*/ T64 w 17"/>
                  <a:gd name="T66" fmla="+- 0 1383 1370"/>
                  <a:gd name="T67" fmla="*/ 1383 h 133"/>
                  <a:gd name="T68" fmla="+- 0 1032 1016"/>
                  <a:gd name="T69" fmla="*/ T68 w 17"/>
                  <a:gd name="T70" fmla="+- 0 1381 1370"/>
                  <a:gd name="T71" fmla="*/ 1381 h 133"/>
                  <a:gd name="T72" fmla="+- 0 1032 1016"/>
                  <a:gd name="T73" fmla="*/ T72 w 17"/>
                  <a:gd name="T74" fmla="+- 0 1376 1370"/>
                  <a:gd name="T75" fmla="*/ 1376 h 133"/>
                  <a:gd name="T76" fmla="+- 0 1032 1016"/>
                  <a:gd name="T77" fmla="*/ T76 w 17"/>
                  <a:gd name="T78" fmla="+- 0 1374 1370"/>
                  <a:gd name="T79" fmla="*/ 1374 h 133"/>
                  <a:gd name="T80" fmla="+- 0 1029 1016"/>
                  <a:gd name="T81" fmla="*/ T80 w 17"/>
                  <a:gd name="T82" fmla="+- 0 1371 1370"/>
                  <a:gd name="T83" fmla="*/ 1371 h 133"/>
                  <a:gd name="T84" fmla="+- 0 1027 1016"/>
                  <a:gd name="T85" fmla="*/ T84 w 17"/>
                  <a:gd name="T86" fmla="+- 0 1370 1370"/>
                  <a:gd name="T87" fmla="*/ 1370 h 133"/>
                </a:gdLst>
                <a:ahLst/>
                <a:cxnLst>
                  <a:cxn ang="0">
                    <a:pos x="T1" y="T3"/>
                  </a:cxn>
                  <a:cxn ang="0">
                    <a:pos x="T5" y="T7"/>
                  </a:cxn>
                  <a:cxn ang="0">
                    <a:pos x="T9" y="T11"/>
                  </a:cxn>
                  <a:cxn ang="0">
                    <a:pos x="T13" y="T15"/>
                  </a:cxn>
                  <a:cxn ang="0">
                    <a:pos x="T17" y="T19"/>
                  </a:cxn>
                  <a:cxn ang="0">
                    <a:pos x="T21" y="T23"/>
                  </a:cxn>
                  <a:cxn ang="0">
                    <a:pos x="T25" y="T27"/>
                  </a:cxn>
                  <a:cxn ang="0">
                    <a:pos x="T29" y="T31"/>
                  </a:cxn>
                  <a:cxn ang="0">
                    <a:pos x="T33" y="T35"/>
                  </a:cxn>
                  <a:cxn ang="0">
                    <a:pos x="T37" y="T39"/>
                  </a:cxn>
                  <a:cxn ang="0">
                    <a:pos x="T41" y="T43"/>
                  </a:cxn>
                  <a:cxn ang="0">
                    <a:pos x="T45" y="T47"/>
                  </a:cxn>
                  <a:cxn ang="0">
                    <a:pos x="T49" y="T51"/>
                  </a:cxn>
                  <a:cxn ang="0">
                    <a:pos x="T53" y="T55"/>
                  </a:cxn>
                  <a:cxn ang="0">
                    <a:pos x="T57" y="T59"/>
                  </a:cxn>
                  <a:cxn ang="0">
                    <a:pos x="T61" y="T63"/>
                  </a:cxn>
                  <a:cxn ang="0">
                    <a:pos x="T65" y="T67"/>
                  </a:cxn>
                  <a:cxn ang="0">
                    <a:pos x="T69" y="T71"/>
                  </a:cxn>
                  <a:cxn ang="0">
                    <a:pos x="T73" y="T75"/>
                  </a:cxn>
                  <a:cxn ang="0">
                    <a:pos x="T77" y="T79"/>
                  </a:cxn>
                  <a:cxn ang="0">
                    <a:pos x="T81" y="T83"/>
                  </a:cxn>
                  <a:cxn ang="0">
                    <a:pos x="T85" y="T87"/>
                  </a:cxn>
                </a:cxnLst>
                <a:rect l="0" t="0" r="r" b="b"/>
                <a:pathLst>
                  <a:path w="17" h="133">
                    <a:moveTo>
                      <a:pt x="14" y="37"/>
                    </a:moveTo>
                    <a:lnTo>
                      <a:pt x="2" y="37"/>
                    </a:lnTo>
                    <a:lnTo>
                      <a:pt x="2" y="132"/>
                    </a:lnTo>
                    <a:lnTo>
                      <a:pt x="14" y="132"/>
                    </a:lnTo>
                    <a:lnTo>
                      <a:pt x="14" y="37"/>
                    </a:lnTo>
                    <a:close/>
                    <a:moveTo>
                      <a:pt x="11" y="0"/>
                    </a:moveTo>
                    <a:lnTo>
                      <a:pt x="5" y="0"/>
                    </a:lnTo>
                    <a:lnTo>
                      <a:pt x="3" y="1"/>
                    </a:lnTo>
                    <a:lnTo>
                      <a:pt x="0" y="4"/>
                    </a:lnTo>
                    <a:lnTo>
                      <a:pt x="0" y="6"/>
                    </a:lnTo>
                    <a:lnTo>
                      <a:pt x="0" y="11"/>
                    </a:lnTo>
                    <a:lnTo>
                      <a:pt x="0" y="13"/>
                    </a:lnTo>
                    <a:lnTo>
                      <a:pt x="3" y="17"/>
                    </a:lnTo>
                    <a:lnTo>
                      <a:pt x="5" y="17"/>
                    </a:lnTo>
                    <a:lnTo>
                      <a:pt x="11" y="17"/>
                    </a:lnTo>
                    <a:lnTo>
                      <a:pt x="13" y="17"/>
                    </a:lnTo>
                    <a:lnTo>
                      <a:pt x="16" y="13"/>
                    </a:lnTo>
                    <a:lnTo>
                      <a:pt x="16" y="11"/>
                    </a:lnTo>
                    <a:lnTo>
                      <a:pt x="16" y="6"/>
                    </a:lnTo>
                    <a:lnTo>
                      <a:pt x="16" y="4"/>
                    </a:lnTo>
                    <a:lnTo>
                      <a:pt x="13" y="1"/>
                    </a:lnTo>
                    <a:lnTo>
                      <a:pt x="11" y="0"/>
                    </a:lnTo>
                    <a:close/>
                  </a:path>
                </a:pathLst>
              </a:custGeom>
              <a:solidFill>
                <a:srgbClr val="231F20"/>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27" name="docshape13">
                <a:extLst>
                  <a:ext uri="{FF2B5EF4-FFF2-40B4-BE49-F238E27FC236}">
                    <a16:creationId xmlns:a16="http://schemas.microsoft.com/office/drawing/2014/main" id="{3EFB43A6-01ED-8A6B-01D9-9BA083AE4D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 y="424383"/>
                <a:ext cx="3624" cy="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grpSp>
        <xdr:nvGrpSpPr>
          <xdr:cNvPr id="4" name="docshapegroup18">
            <a:extLst>
              <a:ext uri="{FF2B5EF4-FFF2-40B4-BE49-F238E27FC236}">
                <a16:creationId xmlns:a16="http://schemas.microsoft.com/office/drawing/2014/main" id="{E99AEC88-2F7D-C3DD-7A66-A42116FF2907}"/>
              </a:ext>
            </a:extLst>
          </xdr:cNvPr>
          <xdr:cNvGrpSpPr/>
        </xdr:nvGrpSpPr>
        <xdr:grpSpPr bwMode="auto">
          <a:xfrm>
            <a:off x="2965450" y="38100"/>
            <a:ext cx="728345" cy="621030"/>
            <a:chOff x="0" y="0"/>
            <a:chExt cx="1147" cy="978"/>
          </a:xfrm>
        </xdr:grpSpPr>
        <xdr:sp macro="" textlink="">
          <xdr:nvSpPr>
            <xdr:cNvPr id="17" name="docshape19">
              <a:extLst>
                <a:ext uri="{FF2B5EF4-FFF2-40B4-BE49-F238E27FC236}">
                  <a16:creationId xmlns:a16="http://schemas.microsoft.com/office/drawing/2014/main" id="{71D95358-B7AA-2035-38F9-71A8FAE77872}"/>
                </a:ext>
              </a:extLst>
            </xdr:cNvPr>
            <xdr:cNvSpPr>
              <a:spLocks/>
            </xdr:cNvSpPr>
          </xdr:nvSpPr>
          <xdr:spPr bwMode="auto">
            <a:xfrm>
              <a:off x="0" y="127"/>
              <a:ext cx="493" cy="548"/>
            </a:xfrm>
            <a:custGeom>
              <a:avLst/>
              <a:gdLst>
                <a:gd name="T0" fmla="*/ 216 w 493"/>
                <a:gd name="T1" fmla="+- 0 127 127"/>
                <a:gd name="T2" fmla="*/ 127 h 548"/>
                <a:gd name="T3" fmla="*/ 143 w 493"/>
                <a:gd name="T4" fmla="+- 0 137 127"/>
                <a:gd name="T5" fmla="*/ 137 h 548"/>
                <a:gd name="T6" fmla="*/ 82 w 493"/>
                <a:gd name="T7" fmla="+- 0 166 127"/>
                <a:gd name="T8" fmla="*/ 166 h 548"/>
                <a:gd name="T9" fmla="*/ 36 w 493"/>
                <a:gd name="T10" fmla="+- 0 212 127"/>
                <a:gd name="T11" fmla="*/ 212 h 548"/>
                <a:gd name="T12" fmla="*/ 7 w 493"/>
                <a:gd name="T13" fmla="+- 0 270 127"/>
                <a:gd name="T14" fmla="*/ 270 h 548"/>
                <a:gd name="T15" fmla="*/ 0 w 493"/>
                <a:gd name="T16" fmla="+- 0 337 127"/>
                <a:gd name="T17" fmla="*/ 337 h 548"/>
                <a:gd name="T18" fmla="*/ 5 w 493"/>
                <a:gd name="T19" fmla="+- 0 372 127"/>
                <a:gd name="T20" fmla="*/ 372 h 548"/>
                <a:gd name="T21" fmla="*/ 33 w 493"/>
                <a:gd name="T22" fmla="+- 0 444 127"/>
                <a:gd name="T23" fmla="*/ 444 h 548"/>
                <a:gd name="T24" fmla="*/ 89 w 493"/>
                <a:gd name="T25" fmla="+- 0 513 127"/>
                <a:gd name="T26" fmla="*/ 513 h 548"/>
                <a:gd name="T27" fmla="*/ 175 w 493"/>
                <a:gd name="T28" fmla="+- 0 578 127"/>
                <a:gd name="T29" fmla="*/ 578 h 548"/>
                <a:gd name="T30" fmla="*/ 230 w 493"/>
                <a:gd name="T31" fmla="+- 0 606 127"/>
                <a:gd name="T32" fmla="*/ 606 h 548"/>
                <a:gd name="T33" fmla="*/ 293 w 493"/>
                <a:gd name="T34" fmla="+- 0 632 127"/>
                <a:gd name="T35" fmla="*/ 632 h 548"/>
                <a:gd name="T36" fmla="*/ 366 w 493"/>
                <a:gd name="T37" fmla="+- 0 655 127"/>
                <a:gd name="T38" fmla="*/ 655 h 548"/>
                <a:gd name="T39" fmla="*/ 447 w 493"/>
                <a:gd name="T40" fmla="+- 0 673 127"/>
                <a:gd name="T41" fmla="*/ 673 h 548"/>
                <a:gd name="T42" fmla="*/ 456 w 493"/>
                <a:gd name="T43" fmla="+- 0 675 127"/>
                <a:gd name="T44" fmla="*/ 675 h 548"/>
                <a:gd name="T45" fmla="*/ 461 w 493"/>
                <a:gd name="T46" fmla="+- 0 662 127"/>
                <a:gd name="T47" fmla="*/ 662 h 548"/>
                <a:gd name="T48" fmla="*/ 452 w 493"/>
                <a:gd name="T49" fmla="+- 0 658 127"/>
                <a:gd name="T50" fmla="*/ 658 h 548"/>
                <a:gd name="T51" fmla="*/ 374 w 493"/>
                <a:gd name="T52" fmla="+- 0 616 127"/>
                <a:gd name="T53" fmla="*/ 616 h 548"/>
                <a:gd name="T54" fmla="*/ 312 w 493"/>
                <a:gd name="T55" fmla="+- 0 567 127"/>
                <a:gd name="T56" fmla="*/ 567 h 548"/>
                <a:gd name="T57" fmla="*/ 266 w 493"/>
                <a:gd name="T58" fmla="+- 0 514 127"/>
                <a:gd name="T59" fmla="*/ 514 h 548"/>
                <a:gd name="T60" fmla="*/ 235 w 493"/>
                <a:gd name="T61" fmla="+- 0 459 127"/>
                <a:gd name="T62" fmla="*/ 459 h 548"/>
                <a:gd name="T63" fmla="*/ 218 w 493"/>
                <a:gd name="T64" fmla="+- 0 356 127"/>
                <a:gd name="T65" fmla="*/ 356 h 548"/>
                <a:gd name="T66" fmla="*/ 231 w 493"/>
                <a:gd name="T67" fmla="+- 0 313 127"/>
                <a:gd name="T68" fmla="*/ 313 h 548"/>
                <a:gd name="T69" fmla="*/ 259 w 493"/>
                <a:gd name="T70" fmla="+- 0 278 127"/>
                <a:gd name="T71" fmla="*/ 278 h 548"/>
                <a:gd name="T72" fmla="*/ 300 w 493"/>
                <a:gd name="T73" fmla="+- 0 256 127"/>
                <a:gd name="T74" fmla="*/ 256 h 548"/>
                <a:gd name="T75" fmla="*/ 355 w 493"/>
                <a:gd name="T76" fmla="+- 0 248 127"/>
                <a:gd name="T77" fmla="*/ 248 h 548"/>
                <a:gd name="T78" fmla="*/ 382 w 493"/>
                <a:gd name="T79" fmla="+- 0 249 127"/>
                <a:gd name="T80" fmla="*/ 249 h 548"/>
                <a:gd name="T81" fmla="*/ 412 w 493"/>
                <a:gd name="T82" fmla="+- 0 254 127"/>
                <a:gd name="T83" fmla="*/ 254 h 548"/>
                <a:gd name="T84" fmla="*/ 444 w 493"/>
                <a:gd name="T85" fmla="+- 0 262 127"/>
                <a:gd name="T86" fmla="*/ 262 h 548"/>
                <a:gd name="T87" fmla="*/ 478 w 493"/>
                <a:gd name="T88" fmla="+- 0 275 127"/>
                <a:gd name="T89" fmla="*/ 275 h 548"/>
                <a:gd name="T90" fmla="*/ 486 w 493"/>
                <a:gd name="T91" fmla="+- 0 278 127"/>
                <a:gd name="T92" fmla="*/ 278 h 548"/>
                <a:gd name="T93" fmla="*/ 492 w 493"/>
                <a:gd name="T94" fmla="+- 0 268 127"/>
                <a:gd name="T95" fmla="*/ 268 h 548"/>
                <a:gd name="T96" fmla="*/ 438 w 493"/>
                <a:gd name="T97" fmla="+- 0 220 127"/>
                <a:gd name="T98" fmla="*/ 220 h 548"/>
                <a:gd name="T99" fmla="*/ 345 w 493"/>
                <a:gd name="T100" fmla="+- 0 161 127"/>
                <a:gd name="T101" fmla="*/ 161 h 548"/>
                <a:gd name="T102" fmla="*/ 257 w 493"/>
                <a:gd name="T103" fmla="+- 0 132 127"/>
                <a:gd name="T104" fmla="*/ 132 h 548"/>
                <a:gd name="T105" fmla="*/ 216 w 493"/>
                <a:gd name="T106" fmla="+- 0 127 127"/>
                <a:gd name="T107" fmla="*/ 127 h 548"/>
              </a:gdLst>
              <a:ahLst/>
              <a:cxnLst>
                <a:cxn ang="0">
                  <a:pos x="T0" y="T2"/>
                </a:cxn>
                <a:cxn ang="0">
                  <a:pos x="T3" y="T5"/>
                </a:cxn>
                <a:cxn ang="0">
                  <a:pos x="T6" y="T8"/>
                </a:cxn>
                <a:cxn ang="0">
                  <a:pos x="T9" y="T11"/>
                </a:cxn>
                <a:cxn ang="0">
                  <a:pos x="T12" y="T14"/>
                </a:cxn>
                <a:cxn ang="0">
                  <a:pos x="T15" y="T17"/>
                </a:cxn>
                <a:cxn ang="0">
                  <a:pos x="T18" y="T20"/>
                </a:cxn>
                <a:cxn ang="0">
                  <a:pos x="T21" y="T23"/>
                </a:cxn>
                <a:cxn ang="0">
                  <a:pos x="T24" y="T26"/>
                </a:cxn>
                <a:cxn ang="0">
                  <a:pos x="T27" y="T29"/>
                </a:cxn>
                <a:cxn ang="0">
                  <a:pos x="T30" y="T32"/>
                </a:cxn>
                <a:cxn ang="0">
                  <a:pos x="T33" y="T35"/>
                </a:cxn>
                <a:cxn ang="0">
                  <a:pos x="T36" y="T38"/>
                </a:cxn>
                <a:cxn ang="0">
                  <a:pos x="T39" y="T41"/>
                </a:cxn>
                <a:cxn ang="0">
                  <a:pos x="T42" y="T44"/>
                </a:cxn>
                <a:cxn ang="0">
                  <a:pos x="T45" y="T47"/>
                </a:cxn>
                <a:cxn ang="0">
                  <a:pos x="T48" y="T50"/>
                </a:cxn>
                <a:cxn ang="0">
                  <a:pos x="T51" y="T53"/>
                </a:cxn>
                <a:cxn ang="0">
                  <a:pos x="T54" y="T56"/>
                </a:cxn>
                <a:cxn ang="0">
                  <a:pos x="T57" y="T59"/>
                </a:cxn>
                <a:cxn ang="0">
                  <a:pos x="T60" y="T62"/>
                </a:cxn>
                <a:cxn ang="0">
                  <a:pos x="T63" y="T65"/>
                </a:cxn>
                <a:cxn ang="0">
                  <a:pos x="T66" y="T68"/>
                </a:cxn>
                <a:cxn ang="0">
                  <a:pos x="T69" y="T71"/>
                </a:cxn>
                <a:cxn ang="0">
                  <a:pos x="T72" y="T74"/>
                </a:cxn>
                <a:cxn ang="0">
                  <a:pos x="T75" y="T77"/>
                </a:cxn>
                <a:cxn ang="0">
                  <a:pos x="T78" y="T80"/>
                </a:cxn>
                <a:cxn ang="0">
                  <a:pos x="T81" y="T83"/>
                </a:cxn>
                <a:cxn ang="0">
                  <a:pos x="T84" y="T86"/>
                </a:cxn>
                <a:cxn ang="0">
                  <a:pos x="T87" y="T89"/>
                </a:cxn>
                <a:cxn ang="0">
                  <a:pos x="T90" y="T92"/>
                </a:cxn>
                <a:cxn ang="0">
                  <a:pos x="T93" y="T95"/>
                </a:cxn>
                <a:cxn ang="0">
                  <a:pos x="T96" y="T98"/>
                </a:cxn>
                <a:cxn ang="0">
                  <a:pos x="T99" y="T101"/>
                </a:cxn>
                <a:cxn ang="0">
                  <a:pos x="T102" y="T104"/>
                </a:cxn>
                <a:cxn ang="0">
                  <a:pos x="T105" y="T107"/>
                </a:cxn>
              </a:cxnLst>
              <a:rect l="0" t="0" r="r" b="b"/>
              <a:pathLst>
                <a:path w="493" h="548">
                  <a:moveTo>
                    <a:pt x="216" y="0"/>
                  </a:moveTo>
                  <a:lnTo>
                    <a:pt x="143" y="10"/>
                  </a:lnTo>
                  <a:lnTo>
                    <a:pt x="82" y="39"/>
                  </a:lnTo>
                  <a:lnTo>
                    <a:pt x="36" y="85"/>
                  </a:lnTo>
                  <a:lnTo>
                    <a:pt x="7" y="143"/>
                  </a:lnTo>
                  <a:lnTo>
                    <a:pt x="0" y="210"/>
                  </a:lnTo>
                  <a:lnTo>
                    <a:pt x="5" y="245"/>
                  </a:lnTo>
                  <a:lnTo>
                    <a:pt x="33" y="317"/>
                  </a:lnTo>
                  <a:lnTo>
                    <a:pt x="89" y="386"/>
                  </a:lnTo>
                  <a:lnTo>
                    <a:pt x="175" y="451"/>
                  </a:lnTo>
                  <a:lnTo>
                    <a:pt x="230" y="479"/>
                  </a:lnTo>
                  <a:lnTo>
                    <a:pt x="293" y="505"/>
                  </a:lnTo>
                  <a:lnTo>
                    <a:pt x="366" y="528"/>
                  </a:lnTo>
                  <a:lnTo>
                    <a:pt x="447" y="546"/>
                  </a:lnTo>
                  <a:lnTo>
                    <a:pt x="456" y="548"/>
                  </a:lnTo>
                  <a:lnTo>
                    <a:pt x="461" y="535"/>
                  </a:lnTo>
                  <a:lnTo>
                    <a:pt x="452" y="531"/>
                  </a:lnTo>
                  <a:lnTo>
                    <a:pt x="374" y="489"/>
                  </a:lnTo>
                  <a:lnTo>
                    <a:pt x="312" y="440"/>
                  </a:lnTo>
                  <a:lnTo>
                    <a:pt x="266" y="387"/>
                  </a:lnTo>
                  <a:lnTo>
                    <a:pt x="235" y="332"/>
                  </a:lnTo>
                  <a:lnTo>
                    <a:pt x="218" y="229"/>
                  </a:lnTo>
                  <a:lnTo>
                    <a:pt x="231" y="186"/>
                  </a:lnTo>
                  <a:lnTo>
                    <a:pt x="259" y="151"/>
                  </a:lnTo>
                  <a:lnTo>
                    <a:pt x="300" y="129"/>
                  </a:lnTo>
                  <a:lnTo>
                    <a:pt x="355" y="121"/>
                  </a:lnTo>
                  <a:lnTo>
                    <a:pt x="382" y="122"/>
                  </a:lnTo>
                  <a:lnTo>
                    <a:pt x="412" y="127"/>
                  </a:lnTo>
                  <a:lnTo>
                    <a:pt x="444" y="135"/>
                  </a:lnTo>
                  <a:lnTo>
                    <a:pt x="478" y="148"/>
                  </a:lnTo>
                  <a:lnTo>
                    <a:pt x="486" y="151"/>
                  </a:lnTo>
                  <a:lnTo>
                    <a:pt x="492" y="141"/>
                  </a:lnTo>
                  <a:lnTo>
                    <a:pt x="438" y="93"/>
                  </a:lnTo>
                  <a:lnTo>
                    <a:pt x="345" y="34"/>
                  </a:lnTo>
                  <a:lnTo>
                    <a:pt x="257" y="5"/>
                  </a:lnTo>
                  <a:lnTo>
                    <a:pt x="216" y="0"/>
                  </a:lnTo>
                  <a:close/>
                </a:path>
              </a:pathLst>
            </a:custGeom>
            <a:solidFill>
              <a:srgbClr val="00AAE7"/>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8" name="docshape20">
              <a:extLst>
                <a:ext uri="{FF2B5EF4-FFF2-40B4-BE49-F238E27FC236}">
                  <a16:creationId xmlns:a16="http://schemas.microsoft.com/office/drawing/2014/main" id="{FBDD5F5D-7FD0-218A-9415-3432132B4F7F}"/>
                </a:ext>
              </a:extLst>
            </xdr:cNvPr>
            <xdr:cNvSpPr>
              <a:spLocks/>
            </xdr:cNvSpPr>
          </xdr:nvSpPr>
          <xdr:spPr bwMode="auto">
            <a:xfrm>
              <a:off x="430" y="0"/>
              <a:ext cx="717" cy="968"/>
            </a:xfrm>
            <a:custGeom>
              <a:avLst/>
              <a:gdLst>
                <a:gd name="T0" fmla="+- 0 863 430"/>
                <a:gd name="T1" fmla="*/ T0 w 717"/>
                <a:gd name="T2" fmla="*/ 0 h 968"/>
                <a:gd name="T3" fmla="+- 0 802 430"/>
                <a:gd name="T4" fmla="*/ T3 w 717"/>
                <a:gd name="T5" fmla="*/ 4 h 968"/>
                <a:gd name="T6" fmla="+- 0 741 430"/>
                <a:gd name="T7" fmla="*/ T6 w 717"/>
                <a:gd name="T8" fmla="*/ 20 h 968"/>
                <a:gd name="T9" fmla="+- 0 682 430"/>
                <a:gd name="T10" fmla="*/ T9 w 717"/>
                <a:gd name="T11" fmla="*/ 52 h 968"/>
                <a:gd name="T12" fmla="+- 0 626 430"/>
                <a:gd name="T13" fmla="*/ T12 w 717"/>
                <a:gd name="T14" fmla="*/ 99 h 968"/>
                <a:gd name="T15" fmla="+- 0 576 430"/>
                <a:gd name="T16" fmla="*/ T15 w 717"/>
                <a:gd name="T17" fmla="*/ 163 h 968"/>
                <a:gd name="T18" fmla="+- 0 532 430"/>
                <a:gd name="T19" fmla="*/ T18 w 717"/>
                <a:gd name="T20" fmla="*/ 244 h 968"/>
                <a:gd name="T21" fmla="+- 0 529 430"/>
                <a:gd name="T22" fmla="*/ T21 w 717"/>
                <a:gd name="T23" fmla="*/ 252 h 968"/>
                <a:gd name="T24" fmla="+- 0 539 430"/>
                <a:gd name="T25" fmla="*/ T24 w 717"/>
                <a:gd name="T26" fmla="*/ 259 h 968"/>
                <a:gd name="T27" fmla="+- 0 545 430"/>
                <a:gd name="T28" fmla="*/ T27 w 717"/>
                <a:gd name="T29" fmla="*/ 253 h 968"/>
                <a:gd name="T30" fmla="+- 0 579 430"/>
                <a:gd name="T31" fmla="*/ T30 w 717"/>
                <a:gd name="T32" fmla="*/ 220 h 968"/>
                <a:gd name="T33" fmla="+- 0 614 430"/>
                <a:gd name="T34" fmla="*/ T33 w 717"/>
                <a:gd name="T35" fmla="*/ 195 h 968"/>
                <a:gd name="T36" fmla="+- 0 648 430"/>
                <a:gd name="T37" fmla="*/ T36 w 717"/>
                <a:gd name="T38" fmla="*/ 177 h 968"/>
                <a:gd name="T39" fmla="+- 0 682 430"/>
                <a:gd name="T40" fmla="*/ T39 w 717"/>
                <a:gd name="T41" fmla="*/ 167 h 968"/>
                <a:gd name="T42" fmla="+- 0 714 430"/>
                <a:gd name="T43" fmla="*/ T42 w 717"/>
                <a:gd name="T44" fmla="*/ 164 h 968"/>
                <a:gd name="T45" fmla="+- 0 745 430"/>
                <a:gd name="T46" fmla="*/ T45 w 717"/>
                <a:gd name="T47" fmla="*/ 167 h 968"/>
                <a:gd name="T48" fmla="+- 0 822 430"/>
                <a:gd name="T49" fmla="*/ T48 w 717"/>
                <a:gd name="T50" fmla="*/ 213 h 968"/>
                <a:gd name="T51" fmla="+- 0 856 430"/>
                <a:gd name="T52" fmla="*/ T51 w 717"/>
                <a:gd name="T53" fmla="*/ 270 h 968"/>
                <a:gd name="T54" fmla="+- 0 871 430"/>
                <a:gd name="T55" fmla="*/ T54 w 717"/>
                <a:gd name="T56" fmla="*/ 345 h 968"/>
                <a:gd name="T57" fmla="+- 0 871 430"/>
                <a:gd name="T58" fmla="*/ T57 w 717"/>
                <a:gd name="T59" fmla="*/ 388 h 968"/>
                <a:gd name="T60" fmla="+- 0 850 430"/>
                <a:gd name="T61" fmla="*/ T60 w 717"/>
                <a:gd name="T62" fmla="*/ 484 h 968"/>
                <a:gd name="T63" fmla="+- 0 800 430"/>
                <a:gd name="T64" fmla="*/ T63 w 717"/>
                <a:gd name="T65" fmla="*/ 591 h 968"/>
                <a:gd name="T66" fmla="+- 0 764 430"/>
                <a:gd name="T67" fmla="*/ T66 w 717"/>
                <a:gd name="T68" fmla="*/ 648 h 968"/>
                <a:gd name="T69" fmla="+- 0 718 430"/>
                <a:gd name="T70" fmla="*/ T69 w 717"/>
                <a:gd name="T71" fmla="*/ 706 h 968"/>
                <a:gd name="T72" fmla="+- 0 663 430"/>
                <a:gd name="T73" fmla="*/ T72 w 717"/>
                <a:gd name="T74" fmla="*/ 766 h 968"/>
                <a:gd name="T75" fmla="+- 0 599 430"/>
                <a:gd name="T76" fmla="*/ T75 w 717"/>
                <a:gd name="T77" fmla="*/ 827 h 968"/>
                <a:gd name="T78" fmla="+- 0 524 430"/>
                <a:gd name="T79" fmla="*/ T78 w 717"/>
                <a:gd name="T80" fmla="*/ 888 h 968"/>
                <a:gd name="T81" fmla="+- 0 438 430"/>
                <a:gd name="T82" fmla="*/ T81 w 717"/>
                <a:gd name="T83" fmla="*/ 950 h 968"/>
                <a:gd name="T84" fmla="+- 0 430 430"/>
                <a:gd name="T85" fmla="*/ T84 w 717"/>
                <a:gd name="T86" fmla="*/ 956 h 968"/>
                <a:gd name="T87" fmla="+- 0 437 430"/>
                <a:gd name="T88" fmla="*/ T87 w 717"/>
                <a:gd name="T89" fmla="*/ 968 h 968"/>
                <a:gd name="T90" fmla="+- 0 535 430"/>
                <a:gd name="T91" fmla="*/ T90 w 717"/>
                <a:gd name="T92" fmla="*/ 927 h 968"/>
                <a:gd name="T93" fmla="+- 0 617 430"/>
                <a:gd name="T94" fmla="*/ T93 w 717"/>
                <a:gd name="T95" fmla="*/ 890 h 968"/>
                <a:gd name="T96" fmla="+- 0 692 430"/>
                <a:gd name="T97" fmla="*/ T96 w 717"/>
                <a:gd name="T98" fmla="*/ 851 h 968"/>
                <a:gd name="T99" fmla="+- 0 760 430"/>
                <a:gd name="T100" fmla="*/ T99 w 717"/>
                <a:gd name="T101" fmla="*/ 812 h 968"/>
                <a:gd name="T102" fmla="+- 0 822 430"/>
                <a:gd name="T103" fmla="*/ T102 w 717"/>
                <a:gd name="T104" fmla="*/ 772 h 968"/>
                <a:gd name="T105" fmla="+- 0 878 430"/>
                <a:gd name="T106" fmla="*/ T105 w 717"/>
                <a:gd name="T107" fmla="*/ 732 h 968"/>
                <a:gd name="T108" fmla="+- 0 928 430"/>
                <a:gd name="T109" fmla="*/ T108 w 717"/>
                <a:gd name="T110" fmla="*/ 692 h 968"/>
                <a:gd name="T111" fmla="+- 0 1011 430"/>
                <a:gd name="T112" fmla="*/ T111 w 717"/>
                <a:gd name="T113" fmla="*/ 612 h 968"/>
                <a:gd name="T114" fmla="+- 0 1073 430"/>
                <a:gd name="T115" fmla="*/ T114 w 717"/>
                <a:gd name="T116" fmla="*/ 532 h 968"/>
                <a:gd name="T117" fmla="+- 0 1115 430"/>
                <a:gd name="T118" fmla="*/ T117 w 717"/>
                <a:gd name="T119" fmla="*/ 454 h 968"/>
                <a:gd name="T120" fmla="+- 0 1139 430"/>
                <a:gd name="T121" fmla="*/ T120 w 717"/>
                <a:gd name="T122" fmla="*/ 379 h 968"/>
                <a:gd name="T123" fmla="+- 0 1147 430"/>
                <a:gd name="T124" fmla="*/ T123 w 717"/>
                <a:gd name="T125" fmla="*/ 308 h 968"/>
                <a:gd name="T126" fmla="+- 0 1145 430"/>
                <a:gd name="T127" fmla="*/ T126 w 717"/>
                <a:gd name="T128" fmla="*/ 274 h 968"/>
                <a:gd name="T129" fmla="+- 0 1132 430"/>
                <a:gd name="T130" fmla="*/ T129 w 717"/>
                <a:gd name="T131" fmla="*/ 211 h 968"/>
                <a:gd name="T132" fmla="+- 0 1107 430"/>
                <a:gd name="T133" fmla="*/ T132 w 717"/>
                <a:gd name="T134" fmla="*/ 153 h 968"/>
                <a:gd name="T135" fmla="+- 0 1072 430"/>
                <a:gd name="T136" fmla="*/ T135 w 717"/>
                <a:gd name="T137" fmla="*/ 104 h 968"/>
                <a:gd name="T138" fmla="+- 0 1028 430"/>
                <a:gd name="T139" fmla="*/ T138 w 717"/>
                <a:gd name="T140" fmla="*/ 63 h 968"/>
                <a:gd name="T141" fmla="+- 0 950 430"/>
                <a:gd name="T142" fmla="*/ T141 w 717"/>
                <a:gd name="T143" fmla="*/ 19 h 968"/>
                <a:gd name="T144" fmla="+- 0 893 430"/>
                <a:gd name="T145" fmla="*/ T144 w 717"/>
                <a:gd name="T146" fmla="*/ 4 h 968"/>
                <a:gd name="T147" fmla="+- 0 863 430"/>
                <a:gd name="T148" fmla="*/ T147 w 717"/>
                <a:gd name="T149" fmla="*/ 0 h 968"/>
              </a:gdLst>
              <a:ahLst/>
              <a:cxnLst>
                <a:cxn ang="0">
                  <a:pos x="T1" y="T2"/>
                </a:cxn>
                <a:cxn ang="0">
                  <a:pos x="T4" y="T5"/>
                </a:cxn>
                <a:cxn ang="0">
                  <a:pos x="T7" y="T8"/>
                </a:cxn>
                <a:cxn ang="0">
                  <a:pos x="T10" y="T11"/>
                </a:cxn>
                <a:cxn ang="0">
                  <a:pos x="T13" y="T14"/>
                </a:cxn>
                <a:cxn ang="0">
                  <a:pos x="T16" y="T17"/>
                </a:cxn>
                <a:cxn ang="0">
                  <a:pos x="T19" y="T20"/>
                </a:cxn>
                <a:cxn ang="0">
                  <a:pos x="T22" y="T23"/>
                </a:cxn>
                <a:cxn ang="0">
                  <a:pos x="T25" y="T26"/>
                </a:cxn>
                <a:cxn ang="0">
                  <a:pos x="T28" y="T29"/>
                </a:cxn>
                <a:cxn ang="0">
                  <a:pos x="T31" y="T32"/>
                </a:cxn>
                <a:cxn ang="0">
                  <a:pos x="T34" y="T35"/>
                </a:cxn>
                <a:cxn ang="0">
                  <a:pos x="T37" y="T38"/>
                </a:cxn>
                <a:cxn ang="0">
                  <a:pos x="T40" y="T41"/>
                </a:cxn>
                <a:cxn ang="0">
                  <a:pos x="T43" y="T44"/>
                </a:cxn>
                <a:cxn ang="0">
                  <a:pos x="T46" y="T47"/>
                </a:cxn>
                <a:cxn ang="0">
                  <a:pos x="T49" y="T50"/>
                </a:cxn>
                <a:cxn ang="0">
                  <a:pos x="T52" y="T53"/>
                </a:cxn>
                <a:cxn ang="0">
                  <a:pos x="T55" y="T56"/>
                </a:cxn>
                <a:cxn ang="0">
                  <a:pos x="T58" y="T59"/>
                </a:cxn>
                <a:cxn ang="0">
                  <a:pos x="T61" y="T62"/>
                </a:cxn>
                <a:cxn ang="0">
                  <a:pos x="T64" y="T65"/>
                </a:cxn>
                <a:cxn ang="0">
                  <a:pos x="T67" y="T68"/>
                </a:cxn>
                <a:cxn ang="0">
                  <a:pos x="T70" y="T71"/>
                </a:cxn>
                <a:cxn ang="0">
                  <a:pos x="T73" y="T74"/>
                </a:cxn>
                <a:cxn ang="0">
                  <a:pos x="T76" y="T77"/>
                </a:cxn>
                <a:cxn ang="0">
                  <a:pos x="T79" y="T80"/>
                </a:cxn>
                <a:cxn ang="0">
                  <a:pos x="T82" y="T83"/>
                </a:cxn>
                <a:cxn ang="0">
                  <a:pos x="T85" y="T86"/>
                </a:cxn>
                <a:cxn ang="0">
                  <a:pos x="T88" y="T89"/>
                </a:cxn>
                <a:cxn ang="0">
                  <a:pos x="T91" y="T92"/>
                </a:cxn>
                <a:cxn ang="0">
                  <a:pos x="T94" y="T95"/>
                </a:cxn>
                <a:cxn ang="0">
                  <a:pos x="T97" y="T98"/>
                </a:cxn>
                <a:cxn ang="0">
                  <a:pos x="T100" y="T101"/>
                </a:cxn>
                <a:cxn ang="0">
                  <a:pos x="T103" y="T104"/>
                </a:cxn>
                <a:cxn ang="0">
                  <a:pos x="T106" y="T107"/>
                </a:cxn>
                <a:cxn ang="0">
                  <a:pos x="T109" y="T110"/>
                </a:cxn>
                <a:cxn ang="0">
                  <a:pos x="T112" y="T113"/>
                </a:cxn>
                <a:cxn ang="0">
                  <a:pos x="T115" y="T116"/>
                </a:cxn>
                <a:cxn ang="0">
                  <a:pos x="T118" y="T119"/>
                </a:cxn>
                <a:cxn ang="0">
                  <a:pos x="T121" y="T122"/>
                </a:cxn>
                <a:cxn ang="0">
                  <a:pos x="T124" y="T125"/>
                </a:cxn>
                <a:cxn ang="0">
                  <a:pos x="T127" y="T128"/>
                </a:cxn>
                <a:cxn ang="0">
                  <a:pos x="T130" y="T131"/>
                </a:cxn>
                <a:cxn ang="0">
                  <a:pos x="T133" y="T134"/>
                </a:cxn>
                <a:cxn ang="0">
                  <a:pos x="T136" y="T137"/>
                </a:cxn>
                <a:cxn ang="0">
                  <a:pos x="T139" y="T140"/>
                </a:cxn>
                <a:cxn ang="0">
                  <a:pos x="T142" y="T143"/>
                </a:cxn>
                <a:cxn ang="0">
                  <a:pos x="T145" y="T146"/>
                </a:cxn>
                <a:cxn ang="0">
                  <a:pos x="T148" y="T149"/>
                </a:cxn>
              </a:cxnLst>
              <a:rect l="0" t="0" r="r" b="b"/>
              <a:pathLst>
                <a:path w="717" h="968">
                  <a:moveTo>
                    <a:pt x="433" y="0"/>
                  </a:moveTo>
                  <a:lnTo>
                    <a:pt x="372" y="4"/>
                  </a:lnTo>
                  <a:lnTo>
                    <a:pt x="311" y="20"/>
                  </a:lnTo>
                  <a:lnTo>
                    <a:pt x="252" y="52"/>
                  </a:lnTo>
                  <a:lnTo>
                    <a:pt x="196" y="99"/>
                  </a:lnTo>
                  <a:lnTo>
                    <a:pt x="146" y="163"/>
                  </a:lnTo>
                  <a:lnTo>
                    <a:pt x="102" y="244"/>
                  </a:lnTo>
                  <a:lnTo>
                    <a:pt x="99" y="252"/>
                  </a:lnTo>
                  <a:lnTo>
                    <a:pt x="109" y="259"/>
                  </a:lnTo>
                  <a:lnTo>
                    <a:pt x="115" y="253"/>
                  </a:lnTo>
                  <a:lnTo>
                    <a:pt x="149" y="220"/>
                  </a:lnTo>
                  <a:lnTo>
                    <a:pt x="184" y="195"/>
                  </a:lnTo>
                  <a:lnTo>
                    <a:pt x="218" y="177"/>
                  </a:lnTo>
                  <a:lnTo>
                    <a:pt x="252" y="167"/>
                  </a:lnTo>
                  <a:lnTo>
                    <a:pt x="284" y="164"/>
                  </a:lnTo>
                  <a:lnTo>
                    <a:pt x="315" y="167"/>
                  </a:lnTo>
                  <a:lnTo>
                    <a:pt x="392" y="213"/>
                  </a:lnTo>
                  <a:lnTo>
                    <a:pt x="426" y="270"/>
                  </a:lnTo>
                  <a:lnTo>
                    <a:pt x="441" y="345"/>
                  </a:lnTo>
                  <a:lnTo>
                    <a:pt x="441" y="388"/>
                  </a:lnTo>
                  <a:lnTo>
                    <a:pt x="420" y="484"/>
                  </a:lnTo>
                  <a:lnTo>
                    <a:pt x="370" y="591"/>
                  </a:lnTo>
                  <a:lnTo>
                    <a:pt x="334" y="648"/>
                  </a:lnTo>
                  <a:lnTo>
                    <a:pt x="288" y="706"/>
                  </a:lnTo>
                  <a:lnTo>
                    <a:pt x="233" y="766"/>
                  </a:lnTo>
                  <a:lnTo>
                    <a:pt x="169" y="827"/>
                  </a:lnTo>
                  <a:lnTo>
                    <a:pt x="94" y="888"/>
                  </a:lnTo>
                  <a:lnTo>
                    <a:pt x="8" y="950"/>
                  </a:lnTo>
                  <a:lnTo>
                    <a:pt x="0" y="956"/>
                  </a:lnTo>
                  <a:lnTo>
                    <a:pt x="7" y="968"/>
                  </a:lnTo>
                  <a:lnTo>
                    <a:pt x="105" y="927"/>
                  </a:lnTo>
                  <a:lnTo>
                    <a:pt x="187" y="890"/>
                  </a:lnTo>
                  <a:lnTo>
                    <a:pt x="262" y="851"/>
                  </a:lnTo>
                  <a:lnTo>
                    <a:pt x="330" y="812"/>
                  </a:lnTo>
                  <a:lnTo>
                    <a:pt x="392" y="772"/>
                  </a:lnTo>
                  <a:lnTo>
                    <a:pt x="448" y="732"/>
                  </a:lnTo>
                  <a:lnTo>
                    <a:pt x="498" y="692"/>
                  </a:lnTo>
                  <a:lnTo>
                    <a:pt x="581" y="612"/>
                  </a:lnTo>
                  <a:lnTo>
                    <a:pt x="643" y="532"/>
                  </a:lnTo>
                  <a:lnTo>
                    <a:pt x="685" y="454"/>
                  </a:lnTo>
                  <a:lnTo>
                    <a:pt x="709" y="379"/>
                  </a:lnTo>
                  <a:lnTo>
                    <a:pt x="717" y="308"/>
                  </a:lnTo>
                  <a:lnTo>
                    <a:pt x="715" y="274"/>
                  </a:lnTo>
                  <a:lnTo>
                    <a:pt x="702" y="211"/>
                  </a:lnTo>
                  <a:lnTo>
                    <a:pt x="677" y="153"/>
                  </a:lnTo>
                  <a:lnTo>
                    <a:pt x="642" y="104"/>
                  </a:lnTo>
                  <a:lnTo>
                    <a:pt x="598" y="63"/>
                  </a:lnTo>
                  <a:lnTo>
                    <a:pt x="520" y="19"/>
                  </a:lnTo>
                  <a:lnTo>
                    <a:pt x="463" y="4"/>
                  </a:lnTo>
                  <a:lnTo>
                    <a:pt x="433" y="0"/>
                  </a:lnTo>
                  <a:close/>
                </a:path>
              </a:pathLst>
            </a:custGeom>
            <a:solidFill>
              <a:srgbClr val="2CB34A"/>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19" name="docshape21">
              <a:extLst>
                <a:ext uri="{FF2B5EF4-FFF2-40B4-BE49-F238E27FC236}">
                  <a16:creationId xmlns:a16="http://schemas.microsoft.com/office/drawing/2014/main" id="{131507FB-D283-CD80-9ED6-C8004C3A21B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7"/>
              <a:ext cx="492" cy="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docshape22">
              <a:extLst>
                <a:ext uri="{FF2B5EF4-FFF2-40B4-BE49-F238E27FC236}">
                  <a16:creationId xmlns:a16="http://schemas.microsoft.com/office/drawing/2014/main" id="{D1B91D3C-B3B0-4A7E-BEFA-49D3AF570C7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3"/>
              <a:ext cx="980" cy="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 name="docshape23">
              <a:extLst>
                <a:ext uri="{FF2B5EF4-FFF2-40B4-BE49-F238E27FC236}">
                  <a16:creationId xmlns:a16="http://schemas.microsoft.com/office/drawing/2014/main" id="{BC7A0FAB-5916-2623-5615-8E8E3234DC3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2" y="33"/>
              <a:ext cx="615" cy="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docshape24">
              <a:extLst>
                <a:ext uri="{FF2B5EF4-FFF2-40B4-BE49-F238E27FC236}">
                  <a16:creationId xmlns:a16="http://schemas.microsoft.com/office/drawing/2014/main" id="{17329DEB-32A2-0442-A3F6-B3BDB365BC1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0" y="0"/>
              <a:ext cx="581"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5" name="Group 4">
            <a:extLst>
              <a:ext uri="{FF2B5EF4-FFF2-40B4-BE49-F238E27FC236}">
                <a16:creationId xmlns:a16="http://schemas.microsoft.com/office/drawing/2014/main" id="{06A1CE6B-3D6A-4592-0498-AB9BE41EB3DB}"/>
              </a:ext>
            </a:extLst>
          </xdr:cNvPr>
          <xdr:cNvGrpSpPr/>
        </xdr:nvGrpSpPr>
        <xdr:grpSpPr>
          <a:xfrm>
            <a:off x="3962400" y="0"/>
            <a:ext cx="2696925" cy="678180"/>
            <a:chOff x="0" y="0"/>
            <a:chExt cx="2984500" cy="678180"/>
          </a:xfrm>
        </xdr:grpSpPr>
        <xdr:grpSp>
          <xdr:nvGrpSpPr>
            <xdr:cNvPr id="6" name="docshapegroup1">
              <a:extLst>
                <a:ext uri="{FF2B5EF4-FFF2-40B4-BE49-F238E27FC236}">
                  <a16:creationId xmlns:a16="http://schemas.microsoft.com/office/drawing/2014/main" id="{B04B1A79-9B17-871F-C0D5-90270F587BDD}"/>
                </a:ext>
              </a:extLst>
            </xdr:cNvPr>
            <xdr:cNvGrpSpPr>
              <a:grpSpLocks/>
            </xdr:cNvGrpSpPr>
          </xdr:nvGrpSpPr>
          <xdr:grpSpPr bwMode="auto">
            <a:xfrm>
              <a:off x="0" y="0"/>
              <a:ext cx="2984500" cy="678180"/>
              <a:chOff x="0" y="0"/>
              <a:chExt cx="4292" cy="1068"/>
            </a:xfrm>
          </xdr:grpSpPr>
          <xdr:pic>
            <xdr:nvPicPr>
              <xdr:cNvPr id="9" name="docshape2">
                <a:extLst>
                  <a:ext uri="{FF2B5EF4-FFF2-40B4-BE49-F238E27FC236}">
                    <a16:creationId xmlns:a16="http://schemas.microsoft.com/office/drawing/2014/main" id="{8A8C4921-92F4-4A8A-FCED-FC32657BA92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600"/>
                <a:ext cx="4292" cy="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docshape3">
                <a:extLst>
                  <a:ext uri="{FF2B5EF4-FFF2-40B4-BE49-F238E27FC236}">
                    <a16:creationId xmlns:a16="http://schemas.microsoft.com/office/drawing/2014/main" id="{2BACD6E1-389F-5873-0F63-7C2C350262A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87" y="62"/>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 name="docshape4">
                <a:extLst>
                  <a:ext uri="{FF2B5EF4-FFF2-40B4-BE49-F238E27FC236}">
                    <a16:creationId xmlns:a16="http://schemas.microsoft.com/office/drawing/2014/main" id="{C95195C6-00AC-B43D-8B94-0DB083E3B951}"/>
                  </a:ext>
                </a:extLst>
              </xdr:cNvPr>
              <xdr:cNvSpPr>
                <a:spLocks noChangeArrowheads="1"/>
              </xdr:cNvSpPr>
            </xdr:nvSpPr>
            <xdr:spPr bwMode="auto">
              <a:xfrm>
                <a:off x="2920"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2" name="docshape5">
                <a:extLst>
                  <a:ext uri="{FF2B5EF4-FFF2-40B4-BE49-F238E27FC236}">
                    <a16:creationId xmlns:a16="http://schemas.microsoft.com/office/drawing/2014/main" id="{2A56B9AF-5219-1E41-5F2D-3462313F19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42" y="35"/>
                <a:ext cx="574" cy="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docshape6">
                <a:extLst>
                  <a:ext uri="{FF2B5EF4-FFF2-40B4-BE49-F238E27FC236}">
                    <a16:creationId xmlns:a16="http://schemas.microsoft.com/office/drawing/2014/main" id="{9EA1B3FB-E60B-72BC-4296-45C933DE9BE5}"/>
                  </a:ext>
                </a:extLst>
              </xdr:cNvPr>
              <xdr:cNvSpPr>
                <a:spLocks noChangeArrowheads="1"/>
              </xdr:cNvSpPr>
            </xdr:nvSpPr>
            <xdr:spPr bwMode="auto">
              <a:xfrm>
                <a:off x="3657"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4" name="docshape7">
                <a:extLst>
                  <a:ext uri="{FF2B5EF4-FFF2-40B4-BE49-F238E27FC236}">
                    <a16:creationId xmlns:a16="http://schemas.microsoft.com/office/drawing/2014/main" id="{0CF1B11F-3B39-C9C5-46C5-B5DF58DE265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6" y="0"/>
                <a:ext cx="2067" cy="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docshape8">
                <a:extLst>
                  <a:ext uri="{FF2B5EF4-FFF2-40B4-BE49-F238E27FC236}">
                    <a16:creationId xmlns:a16="http://schemas.microsoft.com/office/drawing/2014/main" id="{0039E421-F057-D6AC-AC6D-E51E9E85378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1" y="350"/>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 name="docshape9">
                <a:extLst>
                  <a:ext uri="{FF2B5EF4-FFF2-40B4-BE49-F238E27FC236}">
                    <a16:creationId xmlns:a16="http://schemas.microsoft.com/office/drawing/2014/main" id="{25DFCB63-FDF7-4F3D-C375-7C558CC0311F}"/>
                  </a:ext>
                </a:extLst>
              </xdr:cNvPr>
              <xdr:cNvSpPr>
                <a:spLocks noChangeArrowheads="1"/>
              </xdr:cNvSpPr>
            </xdr:nvSpPr>
            <xdr:spPr bwMode="auto">
              <a:xfrm>
                <a:off x="3453" y="349"/>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grpSp>
        <xdr:pic>
          <xdr:nvPicPr>
            <xdr:cNvPr id="7" name="image8.png">
              <a:extLst>
                <a:ext uri="{FF2B5EF4-FFF2-40B4-BE49-F238E27FC236}">
                  <a16:creationId xmlns:a16="http://schemas.microsoft.com/office/drawing/2014/main" id="{F00B77F8-358A-B5E5-1BFA-E2DCB233EE06}"/>
                </a:ext>
              </a:extLst>
            </xdr:cNvPr>
            <xdr:cNvPicPr>
              <a:picLocks noChangeAspect="1"/>
            </xdr:cNvPicPr>
          </xdr:nvPicPr>
          <xdr:blipFill>
            <a:blip xmlns:r="http://schemas.openxmlformats.org/officeDocument/2006/relationships" r:embed="rId13" cstate="print"/>
            <a:stretch>
              <a:fillRect/>
            </a:stretch>
          </xdr:blipFill>
          <xdr:spPr>
            <a:xfrm>
              <a:off x="51841" y="21405"/>
              <a:ext cx="400685" cy="156845"/>
            </a:xfrm>
            <a:prstGeom prst="rect">
              <a:avLst/>
            </a:prstGeom>
          </xdr:spPr>
        </xdr:pic>
        <xdr:pic>
          <xdr:nvPicPr>
            <xdr:cNvPr id="8" name="image9.png">
              <a:extLst>
                <a:ext uri="{FF2B5EF4-FFF2-40B4-BE49-F238E27FC236}">
                  <a16:creationId xmlns:a16="http://schemas.microsoft.com/office/drawing/2014/main" id="{3DEE113E-ED64-0825-50A1-FB19A96145BB}"/>
                </a:ext>
              </a:extLst>
            </xdr:cNvPr>
            <xdr:cNvPicPr>
              <a:picLocks noChangeAspect="1"/>
            </xdr:cNvPicPr>
          </xdr:nvPicPr>
          <xdr:blipFill>
            <a:blip xmlns:r="http://schemas.openxmlformats.org/officeDocument/2006/relationships" r:embed="rId14" cstate="print"/>
            <a:stretch>
              <a:fillRect/>
            </a:stretch>
          </xdr:blipFill>
          <xdr:spPr>
            <a:xfrm>
              <a:off x="2609274" y="22040"/>
              <a:ext cx="343535" cy="161925"/>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357256</xdr:colOff>
      <xdr:row>0</xdr:row>
      <xdr:rowOff>145552</xdr:rowOff>
    </xdr:from>
    <xdr:to>
      <xdr:col>5</xdr:col>
      <xdr:colOff>981867</xdr:colOff>
      <xdr:row>0</xdr:row>
      <xdr:rowOff>1087855</xdr:rowOff>
    </xdr:to>
    <xdr:grpSp>
      <xdr:nvGrpSpPr>
        <xdr:cNvPr id="2" name="Group 1">
          <a:extLst>
            <a:ext uri="{FF2B5EF4-FFF2-40B4-BE49-F238E27FC236}">
              <a16:creationId xmlns:a16="http://schemas.microsoft.com/office/drawing/2014/main" id="{2C4CBE90-34CA-47C9-B1EF-13B6E2C5F3B3}"/>
            </a:ext>
          </a:extLst>
        </xdr:cNvPr>
        <xdr:cNvGrpSpPr/>
      </xdr:nvGrpSpPr>
      <xdr:grpSpPr>
        <a:xfrm>
          <a:off x="357256" y="145552"/>
          <a:ext cx="10779993" cy="698463"/>
          <a:chOff x="0" y="0"/>
          <a:chExt cx="6659325" cy="678180"/>
        </a:xfrm>
      </xdr:grpSpPr>
      <xdr:grpSp>
        <xdr:nvGrpSpPr>
          <xdr:cNvPr id="3" name="Group 2">
            <a:extLst>
              <a:ext uri="{FF2B5EF4-FFF2-40B4-BE49-F238E27FC236}">
                <a16:creationId xmlns:a16="http://schemas.microsoft.com/office/drawing/2014/main" id="{98885AFC-86D4-3A12-EC12-E7EC0C310283}"/>
              </a:ext>
            </a:extLst>
          </xdr:cNvPr>
          <xdr:cNvGrpSpPr/>
        </xdr:nvGrpSpPr>
        <xdr:grpSpPr>
          <a:xfrm>
            <a:off x="0" y="6350"/>
            <a:ext cx="2619846" cy="655523"/>
            <a:chOff x="0" y="0"/>
            <a:chExt cx="2620314" cy="655523"/>
          </a:xfrm>
        </xdr:grpSpPr>
        <xdr:pic>
          <xdr:nvPicPr>
            <xdr:cNvPr id="23" name="Picture 22">
              <a:extLst>
                <a:ext uri="{FF2B5EF4-FFF2-40B4-BE49-F238E27FC236}">
                  <a16:creationId xmlns:a16="http://schemas.microsoft.com/office/drawing/2014/main" id="{CAB521FB-F44E-6079-9E9E-043AE4282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6" y="0"/>
              <a:ext cx="2617888" cy="3048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4" name="docshapegroup10">
              <a:extLst>
                <a:ext uri="{FF2B5EF4-FFF2-40B4-BE49-F238E27FC236}">
                  <a16:creationId xmlns:a16="http://schemas.microsoft.com/office/drawing/2014/main" id="{629D92EF-399A-CA94-DEBD-619469FA380F}"/>
                </a:ext>
              </a:extLst>
            </xdr:cNvPr>
            <xdr:cNvGrpSpPr>
              <a:grpSpLocks/>
            </xdr:cNvGrpSpPr>
          </xdr:nvGrpSpPr>
          <xdr:grpSpPr bwMode="auto">
            <a:xfrm>
              <a:off x="0" y="424383"/>
              <a:ext cx="2353032" cy="231140"/>
              <a:chOff x="0" y="424383"/>
              <a:chExt cx="4102" cy="364"/>
            </a:xfrm>
          </xdr:grpSpPr>
          <xdr:pic>
            <xdr:nvPicPr>
              <xdr:cNvPr id="25" name="docshape11">
                <a:extLst>
                  <a:ext uri="{FF2B5EF4-FFF2-40B4-BE49-F238E27FC236}">
                    <a16:creationId xmlns:a16="http://schemas.microsoft.com/office/drawing/2014/main" id="{6F01760B-964C-32A5-391F-E7BAC69CED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384"/>
                <a:ext cx="367"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6" name="docshape12">
                <a:extLst>
                  <a:ext uri="{FF2B5EF4-FFF2-40B4-BE49-F238E27FC236}">
                    <a16:creationId xmlns:a16="http://schemas.microsoft.com/office/drawing/2014/main" id="{00519693-9259-2784-6188-81C708EB3372}"/>
                  </a:ext>
                </a:extLst>
              </xdr:cNvPr>
              <xdr:cNvSpPr>
                <a:spLocks/>
              </xdr:cNvSpPr>
            </xdr:nvSpPr>
            <xdr:spPr bwMode="auto">
              <a:xfrm>
                <a:off x="397" y="424387"/>
                <a:ext cx="17" cy="133"/>
              </a:xfrm>
              <a:custGeom>
                <a:avLst/>
                <a:gdLst>
                  <a:gd name="T0" fmla="+- 0 1030 1016"/>
                  <a:gd name="T1" fmla="*/ T0 w 17"/>
                  <a:gd name="T2" fmla="+- 0 1407 1370"/>
                  <a:gd name="T3" fmla="*/ 1407 h 133"/>
                  <a:gd name="T4" fmla="+- 0 1018 1016"/>
                  <a:gd name="T5" fmla="*/ T4 w 17"/>
                  <a:gd name="T6" fmla="+- 0 1407 1370"/>
                  <a:gd name="T7" fmla="*/ 1407 h 133"/>
                  <a:gd name="T8" fmla="+- 0 1018 1016"/>
                  <a:gd name="T9" fmla="*/ T8 w 17"/>
                  <a:gd name="T10" fmla="+- 0 1502 1370"/>
                  <a:gd name="T11" fmla="*/ 1502 h 133"/>
                  <a:gd name="T12" fmla="+- 0 1030 1016"/>
                  <a:gd name="T13" fmla="*/ T12 w 17"/>
                  <a:gd name="T14" fmla="+- 0 1502 1370"/>
                  <a:gd name="T15" fmla="*/ 1502 h 133"/>
                  <a:gd name="T16" fmla="+- 0 1030 1016"/>
                  <a:gd name="T17" fmla="*/ T16 w 17"/>
                  <a:gd name="T18" fmla="+- 0 1407 1370"/>
                  <a:gd name="T19" fmla="*/ 1407 h 133"/>
                  <a:gd name="T20" fmla="+- 0 1027 1016"/>
                  <a:gd name="T21" fmla="*/ T20 w 17"/>
                  <a:gd name="T22" fmla="+- 0 1370 1370"/>
                  <a:gd name="T23" fmla="*/ 1370 h 133"/>
                  <a:gd name="T24" fmla="+- 0 1021 1016"/>
                  <a:gd name="T25" fmla="*/ T24 w 17"/>
                  <a:gd name="T26" fmla="+- 0 1370 1370"/>
                  <a:gd name="T27" fmla="*/ 1370 h 133"/>
                  <a:gd name="T28" fmla="+- 0 1019 1016"/>
                  <a:gd name="T29" fmla="*/ T28 w 17"/>
                  <a:gd name="T30" fmla="+- 0 1371 1370"/>
                  <a:gd name="T31" fmla="*/ 1371 h 133"/>
                  <a:gd name="T32" fmla="+- 0 1016 1016"/>
                  <a:gd name="T33" fmla="*/ T32 w 17"/>
                  <a:gd name="T34" fmla="+- 0 1374 1370"/>
                  <a:gd name="T35" fmla="*/ 1374 h 133"/>
                  <a:gd name="T36" fmla="+- 0 1016 1016"/>
                  <a:gd name="T37" fmla="*/ T36 w 17"/>
                  <a:gd name="T38" fmla="+- 0 1376 1370"/>
                  <a:gd name="T39" fmla="*/ 1376 h 133"/>
                  <a:gd name="T40" fmla="+- 0 1016 1016"/>
                  <a:gd name="T41" fmla="*/ T40 w 17"/>
                  <a:gd name="T42" fmla="+- 0 1381 1370"/>
                  <a:gd name="T43" fmla="*/ 1381 h 133"/>
                  <a:gd name="T44" fmla="+- 0 1016 1016"/>
                  <a:gd name="T45" fmla="*/ T44 w 17"/>
                  <a:gd name="T46" fmla="+- 0 1383 1370"/>
                  <a:gd name="T47" fmla="*/ 1383 h 133"/>
                  <a:gd name="T48" fmla="+- 0 1019 1016"/>
                  <a:gd name="T49" fmla="*/ T48 w 17"/>
                  <a:gd name="T50" fmla="+- 0 1387 1370"/>
                  <a:gd name="T51" fmla="*/ 1387 h 133"/>
                  <a:gd name="T52" fmla="+- 0 1021 1016"/>
                  <a:gd name="T53" fmla="*/ T52 w 17"/>
                  <a:gd name="T54" fmla="+- 0 1387 1370"/>
                  <a:gd name="T55" fmla="*/ 1387 h 133"/>
                  <a:gd name="T56" fmla="+- 0 1027 1016"/>
                  <a:gd name="T57" fmla="*/ T56 w 17"/>
                  <a:gd name="T58" fmla="+- 0 1387 1370"/>
                  <a:gd name="T59" fmla="*/ 1387 h 133"/>
                  <a:gd name="T60" fmla="+- 0 1029 1016"/>
                  <a:gd name="T61" fmla="*/ T60 w 17"/>
                  <a:gd name="T62" fmla="+- 0 1387 1370"/>
                  <a:gd name="T63" fmla="*/ 1387 h 133"/>
                  <a:gd name="T64" fmla="+- 0 1032 1016"/>
                  <a:gd name="T65" fmla="*/ T64 w 17"/>
                  <a:gd name="T66" fmla="+- 0 1383 1370"/>
                  <a:gd name="T67" fmla="*/ 1383 h 133"/>
                  <a:gd name="T68" fmla="+- 0 1032 1016"/>
                  <a:gd name="T69" fmla="*/ T68 w 17"/>
                  <a:gd name="T70" fmla="+- 0 1381 1370"/>
                  <a:gd name="T71" fmla="*/ 1381 h 133"/>
                  <a:gd name="T72" fmla="+- 0 1032 1016"/>
                  <a:gd name="T73" fmla="*/ T72 w 17"/>
                  <a:gd name="T74" fmla="+- 0 1376 1370"/>
                  <a:gd name="T75" fmla="*/ 1376 h 133"/>
                  <a:gd name="T76" fmla="+- 0 1032 1016"/>
                  <a:gd name="T77" fmla="*/ T76 w 17"/>
                  <a:gd name="T78" fmla="+- 0 1374 1370"/>
                  <a:gd name="T79" fmla="*/ 1374 h 133"/>
                  <a:gd name="T80" fmla="+- 0 1029 1016"/>
                  <a:gd name="T81" fmla="*/ T80 w 17"/>
                  <a:gd name="T82" fmla="+- 0 1371 1370"/>
                  <a:gd name="T83" fmla="*/ 1371 h 133"/>
                  <a:gd name="T84" fmla="+- 0 1027 1016"/>
                  <a:gd name="T85" fmla="*/ T84 w 17"/>
                  <a:gd name="T86" fmla="+- 0 1370 1370"/>
                  <a:gd name="T87" fmla="*/ 1370 h 133"/>
                </a:gdLst>
                <a:ahLst/>
                <a:cxnLst>
                  <a:cxn ang="0">
                    <a:pos x="T1" y="T3"/>
                  </a:cxn>
                  <a:cxn ang="0">
                    <a:pos x="T5" y="T7"/>
                  </a:cxn>
                  <a:cxn ang="0">
                    <a:pos x="T9" y="T11"/>
                  </a:cxn>
                  <a:cxn ang="0">
                    <a:pos x="T13" y="T15"/>
                  </a:cxn>
                  <a:cxn ang="0">
                    <a:pos x="T17" y="T19"/>
                  </a:cxn>
                  <a:cxn ang="0">
                    <a:pos x="T21" y="T23"/>
                  </a:cxn>
                  <a:cxn ang="0">
                    <a:pos x="T25" y="T27"/>
                  </a:cxn>
                  <a:cxn ang="0">
                    <a:pos x="T29" y="T31"/>
                  </a:cxn>
                  <a:cxn ang="0">
                    <a:pos x="T33" y="T35"/>
                  </a:cxn>
                  <a:cxn ang="0">
                    <a:pos x="T37" y="T39"/>
                  </a:cxn>
                  <a:cxn ang="0">
                    <a:pos x="T41" y="T43"/>
                  </a:cxn>
                  <a:cxn ang="0">
                    <a:pos x="T45" y="T47"/>
                  </a:cxn>
                  <a:cxn ang="0">
                    <a:pos x="T49" y="T51"/>
                  </a:cxn>
                  <a:cxn ang="0">
                    <a:pos x="T53" y="T55"/>
                  </a:cxn>
                  <a:cxn ang="0">
                    <a:pos x="T57" y="T59"/>
                  </a:cxn>
                  <a:cxn ang="0">
                    <a:pos x="T61" y="T63"/>
                  </a:cxn>
                  <a:cxn ang="0">
                    <a:pos x="T65" y="T67"/>
                  </a:cxn>
                  <a:cxn ang="0">
                    <a:pos x="T69" y="T71"/>
                  </a:cxn>
                  <a:cxn ang="0">
                    <a:pos x="T73" y="T75"/>
                  </a:cxn>
                  <a:cxn ang="0">
                    <a:pos x="T77" y="T79"/>
                  </a:cxn>
                  <a:cxn ang="0">
                    <a:pos x="T81" y="T83"/>
                  </a:cxn>
                  <a:cxn ang="0">
                    <a:pos x="T85" y="T87"/>
                  </a:cxn>
                </a:cxnLst>
                <a:rect l="0" t="0" r="r" b="b"/>
                <a:pathLst>
                  <a:path w="17" h="133">
                    <a:moveTo>
                      <a:pt x="14" y="37"/>
                    </a:moveTo>
                    <a:lnTo>
                      <a:pt x="2" y="37"/>
                    </a:lnTo>
                    <a:lnTo>
                      <a:pt x="2" y="132"/>
                    </a:lnTo>
                    <a:lnTo>
                      <a:pt x="14" y="132"/>
                    </a:lnTo>
                    <a:lnTo>
                      <a:pt x="14" y="37"/>
                    </a:lnTo>
                    <a:close/>
                    <a:moveTo>
                      <a:pt x="11" y="0"/>
                    </a:moveTo>
                    <a:lnTo>
                      <a:pt x="5" y="0"/>
                    </a:lnTo>
                    <a:lnTo>
                      <a:pt x="3" y="1"/>
                    </a:lnTo>
                    <a:lnTo>
                      <a:pt x="0" y="4"/>
                    </a:lnTo>
                    <a:lnTo>
                      <a:pt x="0" y="6"/>
                    </a:lnTo>
                    <a:lnTo>
                      <a:pt x="0" y="11"/>
                    </a:lnTo>
                    <a:lnTo>
                      <a:pt x="0" y="13"/>
                    </a:lnTo>
                    <a:lnTo>
                      <a:pt x="3" y="17"/>
                    </a:lnTo>
                    <a:lnTo>
                      <a:pt x="5" y="17"/>
                    </a:lnTo>
                    <a:lnTo>
                      <a:pt x="11" y="17"/>
                    </a:lnTo>
                    <a:lnTo>
                      <a:pt x="13" y="17"/>
                    </a:lnTo>
                    <a:lnTo>
                      <a:pt x="16" y="13"/>
                    </a:lnTo>
                    <a:lnTo>
                      <a:pt x="16" y="11"/>
                    </a:lnTo>
                    <a:lnTo>
                      <a:pt x="16" y="6"/>
                    </a:lnTo>
                    <a:lnTo>
                      <a:pt x="16" y="4"/>
                    </a:lnTo>
                    <a:lnTo>
                      <a:pt x="13" y="1"/>
                    </a:lnTo>
                    <a:lnTo>
                      <a:pt x="11" y="0"/>
                    </a:lnTo>
                    <a:close/>
                  </a:path>
                </a:pathLst>
              </a:custGeom>
              <a:solidFill>
                <a:srgbClr val="231F20"/>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27" name="docshape13">
                <a:extLst>
                  <a:ext uri="{FF2B5EF4-FFF2-40B4-BE49-F238E27FC236}">
                    <a16:creationId xmlns:a16="http://schemas.microsoft.com/office/drawing/2014/main" id="{125DA1E6-10EB-12EC-7E15-C6459749D82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 y="424383"/>
                <a:ext cx="3624" cy="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grpSp>
        <xdr:nvGrpSpPr>
          <xdr:cNvPr id="4" name="docshapegroup18">
            <a:extLst>
              <a:ext uri="{FF2B5EF4-FFF2-40B4-BE49-F238E27FC236}">
                <a16:creationId xmlns:a16="http://schemas.microsoft.com/office/drawing/2014/main" id="{C8598A73-8439-6C10-B309-9E9425D14509}"/>
              </a:ext>
            </a:extLst>
          </xdr:cNvPr>
          <xdr:cNvGrpSpPr/>
        </xdr:nvGrpSpPr>
        <xdr:grpSpPr bwMode="auto">
          <a:xfrm>
            <a:off x="2965450" y="38100"/>
            <a:ext cx="728345" cy="621030"/>
            <a:chOff x="0" y="0"/>
            <a:chExt cx="1147" cy="978"/>
          </a:xfrm>
        </xdr:grpSpPr>
        <xdr:sp macro="" textlink="">
          <xdr:nvSpPr>
            <xdr:cNvPr id="17" name="docshape19">
              <a:extLst>
                <a:ext uri="{FF2B5EF4-FFF2-40B4-BE49-F238E27FC236}">
                  <a16:creationId xmlns:a16="http://schemas.microsoft.com/office/drawing/2014/main" id="{04B1D3B0-3FE4-68E1-980E-A19C6F119147}"/>
                </a:ext>
              </a:extLst>
            </xdr:cNvPr>
            <xdr:cNvSpPr>
              <a:spLocks/>
            </xdr:cNvSpPr>
          </xdr:nvSpPr>
          <xdr:spPr bwMode="auto">
            <a:xfrm>
              <a:off x="0" y="127"/>
              <a:ext cx="493" cy="548"/>
            </a:xfrm>
            <a:custGeom>
              <a:avLst/>
              <a:gdLst>
                <a:gd name="T0" fmla="*/ 216 w 493"/>
                <a:gd name="T1" fmla="+- 0 127 127"/>
                <a:gd name="T2" fmla="*/ 127 h 548"/>
                <a:gd name="T3" fmla="*/ 143 w 493"/>
                <a:gd name="T4" fmla="+- 0 137 127"/>
                <a:gd name="T5" fmla="*/ 137 h 548"/>
                <a:gd name="T6" fmla="*/ 82 w 493"/>
                <a:gd name="T7" fmla="+- 0 166 127"/>
                <a:gd name="T8" fmla="*/ 166 h 548"/>
                <a:gd name="T9" fmla="*/ 36 w 493"/>
                <a:gd name="T10" fmla="+- 0 212 127"/>
                <a:gd name="T11" fmla="*/ 212 h 548"/>
                <a:gd name="T12" fmla="*/ 7 w 493"/>
                <a:gd name="T13" fmla="+- 0 270 127"/>
                <a:gd name="T14" fmla="*/ 270 h 548"/>
                <a:gd name="T15" fmla="*/ 0 w 493"/>
                <a:gd name="T16" fmla="+- 0 337 127"/>
                <a:gd name="T17" fmla="*/ 337 h 548"/>
                <a:gd name="T18" fmla="*/ 5 w 493"/>
                <a:gd name="T19" fmla="+- 0 372 127"/>
                <a:gd name="T20" fmla="*/ 372 h 548"/>
                <a:gd name="T21" fmla="*/ 33 w 493"/>
                <a:gd name="T22" fmla="+- 0 444 127"/>
                <a:gd name="T23" fmla="*/ 444 h 548"/>
                <a:gd name="T24" fmla="*/ 89 w 493"/>
                <a:gd name="T25" fmla="+- 0 513 127"/>
                <a:gd name="T26" fmla="*/ 513 h 548"/>
                <a:gd name="T27" fmla="*/ 175 w 493"/>
                <a:gd name="T28" fmla="+- 0 578 127"/>
                <a:gd name="T29" fmla="*/ 578 h 548"/>
                <a:gd name="T30" fmla="*/ 230 w 493"/>
                <a:gd name="T31" fmla="+- 0 606 127"/>
                <a:gd name="T32" fmla="*/ 606 h 548"/>
                <a:gd name="T33" fmla="*/ 293 w 493"/>
                <a:gd name="T34" fmla="+- 0 632 127"/>
                <a:gd name="T35" fmla="*/ 632 h 548"/>
                <a:gd name="T36" fmla="*/ 366 w 493"/>
                <a:gd name="T37" fmla="+- 0 655 127"/>
                <a:gd name="T38" fmla="*/ 655 h 548"/>
                <a:gd name="T39" fmla="*/ 447 w 493"/>
                <a:gd name="T40" fmla="+- 0 673 127"/>
                <a:gd name="T41" fmla="*/ 673 h 548"/>
                <a:gd name="T42" fmla="*/ 456 w 493"/>
                <a:gd name="T43" fmla="+- 0 675 127"/>
                <a:gd name="T44" fmla="*/ 675 h 548"/>
                <a:gd name="T45" fmla="*/ 461 w 493"/>
                <a:gd name="T46" fmla="+- 0 662 127"/>
                <a:gd name="T47" fmla="*/ 662 h 548"/>
                <a:gd name="T48" fmla="*/ 452 w 493"/>
                <a:gd name="T49" fmla="+- 0 658 127"/>
                <a:gd name="T50" fmla="*/ 658 h 548"/>
                <a:gd name="T51" fmla="*/ 374 w 493"/>
                <a:gd name="T52" fmla="+- 0 616 127"/>
                <a:gd name="T53" fmla="*/ 616 h 548"/>
                <a:gd name="T54" fmla="*/ 312 w 493"/>
                <a:gd name="T55" fmla="+- 0 567 127"/>
                <a:gd name="T56" fmla="*/ 567 h 548"/>
                <a:gd name="T57" fmla="*/ 266 w 493"/>
                <a:gd name="T58" fmla="+- 0 514 127"/>
                <a:gd name="T59" fmla="*/ 514 h 548"/>
                <a:gd name="T60" fmla="*/ 235 w 493"/>
                <a:gd name="T61" fmla="+- 0 459 127"/>
                <a:gd name="T62" fmla="*/ 459 h 548"/>
                <a:gd name="T63" fmla="*/ 218 w 493"/>
                <a:gd name="T64" fmla="+- 0 356 127"/>
                <a:gd name="T65" fmla="*/ 356 h 548"/>
                <a:gd name="T66" fmla="*/ 231 w 493"/>
                <a:gd name="T67" fmla="+- 0 313 127"/>
                <a:gd name="T68" fmla="*/ 313 h 548"/>
                <a:gd name="T69" fmla="*/ 259 w 493"/>
                <a:gd name="T70" fmla="+- 0 278 127"/>
                <a:gd name="T71" fmla="*/ 278 h 548"/>
                <a:gd name="T72" fmla="*/ 300 w 493"/>
                <a:gd name="T73" fmla="+- 0 256 127"/>
                <a:gd name="T74" fmla="*/ 256 h 548"/>
                <a:gd name="T75" fmla="*/ 355 w 493"/>
                <a:gd name="T76" fmla="+- 0 248 127"/>
                <a:gd name="T77" fmla="*/ 248 h 548"/>
                <a:gd name="T78" fmla="*/ 382 w 493"/>
                <a:gd name="T79" fmla="+- 0 249 127"/>
                <a:gd name="T80" fmla="*/ 249 h 548"/>
                <a:gd name="T81" fmla="*/ 412 w 493"/>
                <a:gd name="T82" fmla="+- 0 254 127"/>
                <a:gd name="T83" fmla="*/ 254 h 548"/>
                <a:gd name="T84" fmla="*/ 444 w 493"/>
                <a:gd name="T85" fmla="+- 0 262 127"/>
                <a:gd name="T86" fmla="*/ 262 h 548"/>
                <a:gd name="T87" fmla="*/ 478 w 493"/>
                <a:gd name="T88" fmla="+- 0 275 127"/>
                <a:gd name="T89" fmla="*/ 275 h 548"/>
                <a:gd name="T90" fmla="*/ 486 w 493"/>
                <a:gd name="T91" fmla="+- 0 278 127"/>
                <a:gd name="T92" fmla="*/ 278 h 548"/>
                <a:gd name="T93" fmla="*/ 492 w 493"/>
                <a:gd name="T94" fmla="+- 0 268 127"/>
                <a:gd name="T95" fmla="*/ 268 h 548"/>
                <a:gd name="T96" fmla="*/ 438 w 493"/>
                <a:gd name="T97" fmla="+- 0 220 127"/>
                <a:gd name="T98" fmla="*/ 220 h 548"/>
                <a:gd name="T99" fmla="*/ 345 w 493"/>
                <a:gd name="T100" fmla="+- 0 161 127"/>
                <a:gd name="T101" fmla="*/ 161 h 548"/>
                <a:gd name="T102" fmla="*/ 257 w 493"/>
                <a:gd name="T103" fmla="+- 0 132 127"/>
                <a:gd name="T104" fmla="*/ 132 h 548"/>
                <a:gd name="T105" fmla="*/ 216 w 493"/>
                <a:gd name="T106" fmla="+- 0 127 127"/>
                <a:gd name="T107" fmla="*/ 127 h 548"/>
              </a:gdLst>
              <a:ahLst/>
              <a:cxnLst>
                <a:cxn ang="0">
                  <a:pos x="T0" y="T2"/>
                </a:cxn>
                <a:cxn ang="0">
                  <a:pos x="T3" y="T5"/>
                </a:cxn>
                <a:cxn ang="0">
                  <a:pos x="T6" y="T8"/>
                </a:cxn>
                <a:cxn ang="0">
                  <a:pos x="T9" y="T11"/>
                </a:cxn>
                <a:cxn ang="0">
                  <a:pos x="T12" y="T14"/>
                </a:cxn>
                <a:cxn ang="0">
                  <a:pos x="T15" y="T17"/>
                </a:cxn>
                <a:cxn ang="0">
                  <a:pos x="T18" y="T20"/>
                </a:cxn>
                <a:cxn ang="0">
                  <a:pos x="T21" y="T23"/>
                </a:cxn>
                <a:cxn ang="0">
                  <a:pos x="T24" y="T26"/>
                </a:cxn>
                <a:cxn ang="0">
                  <a:pos x="T27" y="T29"/>
                </a:cxn>
                <a:cxn ang="0">
                  <a:pos x="T30" y="T32"/>
                </a:cxn>
                <a:cxn ang="0">
                  <a:pos x="T33" y="T35"/>
                </a:cxn>
                <a:cxn ang="0">
                  <a:pos x="T36" y="T38"/>
                </a:cxn>
                <a:cxn ang="0">
                  <a:pos x="T39" y="T41"/>
                </a:cxn>
                <a:cxn ang="0">
                  <a:pos x="T42" y="T44"/>
                </a:cxn>
                <a:cxn ang="0">
                  <a:pos x="T45" y="T47"/>
                </a:cxn>
                <a:cxn ang="0">
                  <a:pos x="T48" y="T50"/>
                </a:cxn>
                <a:cxn ang="0">
                  <a:pos x="T51" y="T53"/>
                </a:cxn>
                <a:cxn ang="0">
                  <a:pos x="T54" y="T56"/>
                </a:cxn>
                <a:cxn ang="0">
                  <a:pos x="T57" y="T59"/>
                </a:cxn>
                <a:cxn ang="0">
                  <a:pos x="T60" y="T62"/>
                </a:cxn>
                <a:cxn ang="0">
                  <a:pos x="T63" y="T65"/>
                </a:cxn>
                <a:cxn ang="0">
                  <a:pos x="T66" y="T68"/>
                </a:cxn>
                <a:cxn ang="0">
                  <a:pos x="T69" y="T71"/>
                </a:cxn>
                <a:cxn ang="0">
                  <a:pos x="T72" y="T74"/>
                </a:cxn>
                <a:cxn ang="0">
                  <a:pos x="T75" y="T77"/>
                </a:cxn>
                <a:cxn ang="0">
                  <a:pos x="T78" y="T80"/>
                </a:cxn>
                <a:cxn ang="0">
                  <a:pos x="T81" y="T83"/>
                </a:cxn>
                <a:cxn ang="0">
                  <a:pos x="T84" y="T86"/>
                </a:cxn>
                <a:cxn ang="0">
                  <a:pos x="T87" y="T89"/>
                </a:cxn>
                <a:cxn ang="0">
                  <a:pos x="T90" y="T92"/>
                </a:cxn>
                <a:cxn ang="0">
                  <a:pos x="T93" y="T95"/>
                </a:cxn>
                <a:cxn ang="0">
                  <a:pos x="T96" y="T98"/>
                </a:cxn>
                <a:cxn ang="0">
                  <a:pos x="T99" y="T101"/>
                </a:cxn>
                <a:cxn ang="0">
                  <a:pos x="T102" y="T104"/>
                </a:cxn>
                <a:cxn ang="0">
                  <a:pos x="T105" y="T107"/>
                </a:cxn>
              </a:cxnLst>
              <a:rect l="0" t="0" r="r" b="b"/>
              <a:pathLst>
                <a:path w="493" h="548">
                  <a:moveTo>
                    <a:pt x="216" y="0"/>
                  </a:moveTo>
                  <a:lnTo>
                    <a:pt x="143" y="10"/>
                  </a:lnTo>
                  <a:lnTo>
                    <a:pt x="82" y="39"/>
                  </a:lnTo>
                  <a:lnTo>
                    <a:pt x="36" y="85"/>
                  </a:lnTo>
                  <a:lnTo>
                    <a:pt x="7" y="143"/>
                  </a:lnTo>
                  <a:lnTo>
                    <a:pt x="0" y="210"/>
                  </a:lnTo>
                  <a:lnTo>
                    <a:pt x="5" y="245"/>
                  </a:lnTo>
                  <a:lnTo>
                    <a:pt x="33" y="317"/>
                  </a:lnTo>
                  <a:lnTo>
                    <a:pt x="89" y="386"/>
                  </a:lnTo>
                  <a:lnTo>
                    <a:pt x="175" y="451"/>
                  </a:lnTo>
                  <a:lnTo>
                    <a:pt x="230" y="479"/>
                  </a:lnTo>
                  <a:lnTo>
                    <a:pt x="293" y="505"/>
                  </a:lnTo>
                  <a:lnTo>
                    <a:pt x="366" y="528"/>
                  </a:lnTo>
                  <a:lnTo>
                    <a:pt x="447" y="546"/>
                  </a:lnTo>
                  <a:lnTo>
                    <a:pt x="456" y="548"/>
                  </a:lnTo>
                  <a:lnTo>
                    <a:pt x="461" y="535"/>
                  </a:lnTo>
                  <a:lnTo>
                    <a:pt x="452" y="531"/>
                  </a:lnTo>
                  <a:lnTo>
                    <a:pt x="374" y="489"/>
                  </a:lnTo>
                  <a:lnTo>
                    <a:pt x="312" y="440"/>
                  </a:lnTo>
                  <a:lnTo>
                    <a:pt x="266" y="387"/>
                  </a:lnTo>
                  <a:lnTo>
                    <a:pt x="235" y="332"/>
                  </a:lnTo>
                  <a:lnTo>
                    <a:pt x="218" y="229"/>
                  </a:lnTo>
                  <a:lnTo>
                    <a:pt x="231" y="186"/>
                  </a:lnTo>
                  <a:lnTo>
                    <a:pt x="259" y="151"/>
                  </a:lnTo>
                  <a:lnTo>
                    <a:pt x="300" y="129"/>
                  </a:lnTo>
                  <a:lnTo>
                    <a:pt x="355" y="121"/>
                  </a:lnTo>
                  <a:lnTo>
                    <a:pt x="382" y="122"/>
                  </a:lnTo>
                  <a:lnTo>
                    <a:pt x="412" y="127"/>
                  </a:lnTo>
                  <a:lnTo>
                    <a:pt x="444" y="135"/>
                  </a:lnTo>
                  <a:lnTo>
                    <a:pt x="478" y="148"/>
                  </a:lnTo>
                  <a:lnTo>
                    <a:pt x="486" y="151"/>
                  </a:lnTo>
                  <a:lnTo>
                    <a:pt x="492" y="141"/>
                  </a:lnTo>
                  <a:lnTo>
                    <a:pt x="438" y="93"/>
                  </a:lnTo>
                  <a:lnTo>
                    <a:pt x="345" y="34"/>
                  </a:lnTo>
                  <a:lnTo>
                    <a:pt x="257" y="5"/>
                  </a:lnTo>
                  <a:lnTo>
                    <a:pt x="216" y="0"/>
                  </a:lnTo>
                  <a:close/>
                </a:path>
              </a:pathLst>
            </a:custGeom>
            <a:solidFill>
              <a:srgbClr val="00AAE7"/>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8" name="docshape20">
              <a:extLst>
                <a:ext uri="{FF2B5EF4-FFF2-40B4-BE49-F238E27FC236}">
                  <a16:creationId xmlns:a16="http://schemas.microsoft.com/office/drawing/2014/main" id="{05AB0313-A68E-6889-EDA4-093A374674FE}"/>
                </a:ext>
              </a:extLst>
            </xdr:cNvPr>
            <xdr:cNvSpPr>
              <a:spLocks/>
            </xdr:cNvSpPr>
          </xdr:nvSpPr>
          <xdr:spPr bwMode="auto">
            <a:xfrm>
              <a:off x="430" y="0"/>
              <a:ext cx="717" cy="968"/>
            </a:xfrm>
            <a:custGeom>
              <a:avLst/>
              <a:gdLst>
                <a:gd name="T0" fmla="+- 0 863 430"/>
                <a:gd name="T1" fmla="*/ T0 w 717"/>
                <a:gd name="T2" fmla="*/ 0 h 968"/>
                <a:gd name="T3" fmla="+- 0 802 430"/>
                <a:gd name="T4" fmla="*/ T3 w 717"/>
                <a:gd name="T5" fmla="*/ 4 h 968"/>
                <a:gd name="T6" fmla="+- 0 741 430"/>
                <a:gd name="T7" fmla="*/ T6 w 717"/>
                <a:gd name="T8" fmla="*/ 20 h 968"/>
                <a:gd name="T9" fmla="+- 0 682 430"/>
                <a:gd name="T10" fmla="*/ T9 w 717"/>
                <a:gd name="T11" fmla="*/ 52 h 968"/>
                <a:gd name="T12" fmla="+- 0 626 430"/>
                <a:gd name="T13" fmla="*/ T12 w 717"/>
                <a:gd name="T14" fmla="*/ 99 h 968"/>
                <a:gd name="T15" fmla="+- 0 576 430"/>
                <a:gd name="T16" fmla="*/ T15 w 717"/>
                <a:gd name="T17" fmla="*/ 163 h 968"/>
                <a:gd name="T18" fmla="+- 0 532 430"/>
                <a:gd name="T19" fmla="*/ T18 w 717"/>
                <a:gd name="T20" fmla="*/ 244 h 968"/>
                <a:gd name="T21" fmla="+- 0 529 430"/>
                <a:gd name="T22" fmla="*/ T21 w 717"/>
                <a:gd name="T23" fmla="*/ 252 h 968"/>
                <a:gd name="T24" fmla="+- 0 539 430"/>
                <a:gd name="T25" fmla="*/ T24 w 717"/>
                <a:gd name="T26" fmla="*/ 259 h 968"/>
                <a:gd name="T27" fmla="+- 0 545 430"/>
                <a:gd name="T28" fmla="*/ T27 w 717"/>
                <a:gd name="T29" fmla="*/ 253 h 968"/>
                <a:gd name="T30" fmla="+- 0 579 430"/>
                <a:gd name="T31" fmla="*/ T30 w 717"/>
                <a:gd name="T32" fmla="*/ 220 h 968"/>
                <a:gd name="T33" fmla="+- 0 614 430"/>
                <a:gd name="T34" fmla="*/ T33 w 717"/>
                <a:gd name="T35" fmla="*/ 195 h 968"/>
                <a:gd name="T36" fmla="+- 0 648 430"/>
                <a:gd name="T37" fmla="*/ T36 w 717"/>
                <a:gd name="T38" fmla="*/ 177 h 968"/>
                <a:gd name="T39" fmla="+- 0 682 430"/>
                <a:gd name="T40" fmla="*/ T39 w 717"/>
                <a:gd name="T41" fmla="*/ 167 h 968"/>
                <a:gd name="T42" fmla="+- 0 714 430"/>
                <a:gd name="T43" fmla="*/ T42 w 717"/>
                <a:gd name="T44" fmla="*/ 164 h 968"/>
                <a:gd name="T45" fmla="+- 0 745 430"/>
                <a:gd name="T46" fmla="*/ T45 w 717"/>
                <a:gd name="T47" fmla="*/ 167 h 968"/>
                <a:gd name="T48" fmla="+- 0 822 430"/>
                <a:gd name="T49" fmla="*/ T48 w 717"/>
                <a:gd name="T50" fmla="*/ 213 h 968"/>
                <a:gd name="T51" fmla="+- 0 856 430"/>
                <a:gd name="T52" fmla="*/ T51 w 717"/>
                <a:gd name="T53" fmla="*/ 270 h 968"/>
                <a:gd name="T54" fmla="+- 0 871 430"/>
                <a:gd name="T55" fmla="*/ T54 w 717"/>
                <a:gd name="T56" fmla="*/ 345 h 968"/>
                <a:gd name="T57" fmla="+- 0 871 430"/>
                <a:gd name="T58" fmla="*/ T57 w 717"/>
                <a:gd name="T59" fmla="*/ 388 h 968"/>
                <a:gd name="T60" fmla="+- 0 850 430"/>
                <a:gd name="T61" fmla="*/ T60 w 717"/>
                <a:gd name="T62" fmla="*/ 484 h 968"/>
                <a:gd name="T63" fmla="+- 0 800 430"/>
                <a:gd name="T64" fmla="*/ T63 w 717"/>
                <a:gd name="T65" fmla="*/ 591 h 968"/>
                <a:gd name="T66" fmla="+- 0 764 430"/>
                <a:gd name="T67" fmla="*/ T66 w 717"/>
                <a:gd name="T68" fmla="*/ 648 h 968"/>
                <a:gd name="T69" fmla="+- 0 718 430"/>
                <a:gd name="T70" fmla="*/ T69 w 717"/>
                <a:gd name="T71" fmla="*/ 706 h 968"/>
                <a:gd name="T72" fmla="+- 0 663 430"/>
                <a:gd name="T73" fmla="*/ T72 w 717"/>
                <a:gd name="T74" fmla="*/ 766 h 968"/>
                <a:gd name="T75" fmla="+- 0 599 430"/>
                <a:gd name="T76" fmla="*/ T75 w 717"/>
                <a:gd name="T77" fmla="*/ 827 h 968"/>
                <a:gd name="T78" fmla="+- 0 524 430"/>
                <a:gd name="T79" fmla="*/ T78 w 717"/>
                <a:gd name="T80" fmla="*/ 888 h 968"/>
                <a:gd name="T81" fmla="+- 0 438 430"/>
                <a:gd name="T82" fmla="*/ T81 w 717"/>
                <a:gd name="T83" fmla="*/ 950 h 968"/>
                <a:gd name="T84" fmla="+- 0 430 430"/>
                <a:gd name="T85" fmla="*/ T84 w 717"/>
                <a:gd name="T86" fmla="*/ 956 h 968"/>
                <a:gd name="T87" fmla="+- 0 437 430"/>
                <a:gd name="T88" fmla="*/ T87 w 717"/>
                <a:gd name="T89" fmla="*/ 968 h 968"/>
                <a:gd name="T90" fmla="+- 0 535 430"/>
                <a:gd name="T91" fmla="*/ T90 w 717"/>
                <a:gd name="T92" fmla="*/ 927 h 968"/>
                <a:gd name="T93" fmla="+- 0 617 430"/>
                <a:gd name="T94" fmla="*/ T93 w 717"/>
                <a:gd name="T95" fmla="*/ 890 h 968"/>
                <a:gd name="T96" fmla="+- 0 692 430"/>
                <a:gd name="T97" fmla="*/ T96 w 717"/>
                <a:gd name="T98" fmla="*/ 851 h 968"/>
                <a:gd name="T99" fmla="+- 0 760 430"/>
                <a:gd name="T100" fmla="*/ T99 w 717"/>
                <a:gd name="T101" fmla="*/ 812 h 968"/>
                <a:gd name="T102" fmla="+- 0 822 430"/>
                <a:gd name="T103" fmla="*/ T102 w 717"/>
                <a:gd name="T104" fmla="*/ 772 h 968"/>
                <a:gd name="T105" fmla="+- 0 878 430"/>
                <a:gd name="T106" fmla="*/ T105 w 717"/>
                <a:gd name="T107" fmla="*/ 732 h 968"/>
                <a:gd name="T108" fmla="+- 0 928 430"/>
                <a:gd name="T109" fmla="*/ T108 w 717"/>
                <a:gd name="T110" fmla="*/ 692 h 968"/>
                <a:gd name="T111" fmla="+- 0 1011 430"/>
                <a:gd name="T112" fmla="*/ T111 w 717"/>
                <a:gd name="T113" fmla="*/ 612 h 968"/>
                <a:gd name="T114" fmla="+- 0 1073 430"/>
                <a:gd name="T115" fmla="*/ T114 w 717"/>
                <a:gd name="T116" fmla="*/ 532 h 968"/>
                <a:gd name="T117" fmla="+- 0 1115 430"/>
                <a:gd name="T118" fmla="*/ T117 w 717"/>
                <a:gd name="T119" fmla="*/ 454 h 968"/>
                <a:gd name="T120" fmla="+- 0 1139 430"/>
                <a:gd name="T121" fmla="*/ T120 w 717"/>
                <a:gd name="T122" fmla="*/ 379 h 968"/>
                <a:gd name="T123" fmla="+- 0 1147 430"/>
                <a:gd name="T124" fmla="*/ T123 w 717"/>
                <a:gd name="T125" fmla="*/ 308 h 968"/>
                <a:gd name="T126" fmla="+- 0 1145 430"/>
                <a:gd name="T127" fmla="*/ T126 w 717"/>
                <a:gd name="T128" fmla="*/ 274 h 968"/>
                <a:gd name="T129" fmla="+- 0 1132 430"/>
                <a:gd name="T130" fmla="*/ T129 w 717"/>
                <a:gd name="T131" fmla="*/ 211 h 968"/>
                <a:gd name="T132" fmla="+- 0 1107 430"/>
                <a:gd name="T133" fmla="*/ T132 w 717"/>
                <a:gd name="T134" fmla="*/ 153 h 968"/>
                <a:gd name="T135" fmla="+- 0 1072 430"/>
                <a:gd name="T136" fmla="*/ T135 w 717"/>
                <a:gd name="T137" fmla="*/ 104 h 968"/>
                <a:gd name="T138" fmla="+- 0 1028 430"/>
                <a:gd name="T139" fmla="*/ T138 w 717"/>
                <a:gd name="T140" fmla="*/ 63 h 968"/>
                <a:gd name="T141" fmla="+- 0 950 430"/>
                <a:gd name="T142" fmla="*/ T141 w 717"/>
                <a:gd name="T143" fmla="*/ 19 h 968"/>
                <a:gd name="T144" fmla="+- 0 893 430"/>
                <a:gd name="T145" fmla="*/ T144 w 717"/>
                <a:gd name="T146" fmla="*/ 4 h 968"/>
                <a:gd name="T147" fmla="+- 0 863 430"/>
                <a:gd name="T148" fmla="*/ T147 w 717"/>
                <a:gd name="T149" fmla="*/ 0 h 968"/>
              </a:gdLst>
              <a:ahLst/>
              <a:cxnLst>
                <a:cxn ang="0">
                  <a:pos x="T1" y="T2"/>
                </a:cxn>
                <a:cxn ang="0">
                  <a:pos x="T4" y="T5"/>
                </a:cxn>
                <a:cxn ang="0">
                  <a:pos x="T7" y="T8"/>
                </a:cxn>
                <a:cxn ang="0">
                  <a:pos x="T10" y="T11"/>
                </a:cxn>
                <a:cxn ang="0">
                  <a:pos x="T13" y="T14"/>
                </a:cxn>
                <a:cxn ang="0">
                  <a:pos x="T16" y="T17"/>
                </a:cxn>
                <a:cxn ang="0">
                  <a:pos x="T19" y="T20"/>
                </a:cxn>
                <a:cxn ang="0">
                  <a:pos x="T22" y="T23"/>
                </a:cxn>
                <a:cxn ang="0">
                  <a:pos x="T25" y="T26"/>
                </a:cxn>
                <a:cxn ang="0">
                  <a:pos x="T28" y="T29"/>
                </a:cxn>
                <a:cxn ang="0">
                  <a:pos x="T31" y="T32"/>
                </a:cxn>
                <a:cxn ang="0">
                  <a:pos x="T34" y="T35"/>
                </a:cxn>
                <a:cxn ang="0">
                  <a:pos x="T37" y="T38"/>
                </a:cxn>
                <a:cxn ang="0">
                  <a:pos x="T40" y="T41"/>
                </a:cxn>
                <a:cxn ang="0">
                  <a:pos x="T43" y="T44"/>
                </a:cxn>
                <a:cxn ang="0">
                  <a:pos x="T46" y="T47"/>
                </a:cxn>
                <a:cxn ang="0">
                  <a:pos x="T49" y="T50"/>
                </a:cxn>
                <a:cxn ang="0">
                  <a:pos x="T52" y="T53"/>
                </a:cxn>
                <a:cxn ang="0">
                  <a:pos x="T55" y="T56"/>
                </a:cxn>
                <a:cxn ang="0">
                  <a:pos x="T58" y="T59"/>
                </a:cxn>
                <a:cxn ang="0">
                  <a:pos x="T61" y="T62"/>
                </a:cxn>
                <a:cxn ang="0">
                  <a:pos x="T64" y="T65"/>
                </a:cxn>
                <a:cxn ang="0">
                  <a:pos x="T67" y="T68"/>
                </a:cxn>
                <a:cxn ang="0">
                  <a:pos x="T70" y="T71"/>
                </a:cxn>
                <a:cxn ang="0">
                  <a:pos x="T73" y="T74"/>
                </a:cxn>
                <a:cxn ang="0">
                  <a:pos x="T76" y="T77"/>
                </a:cxn>
                <a:cxn ang="0">
                  <a:pos x="T79" y="T80"/>
                </a:cxn>
                <a:cxn ang="0">
                  <a:pos x="T82" y="T83"/>
                </a:cxn>
                <a:cxn ang="0">
                  <a:pos x="T85" y="T86"/>
                </a:cxn>
                <a:cxn ang="0">
                  <a:pos x="T88" y="T89"/>
                </a:cxn>
                <a:cxn ang="0">
                  <a:pos x="T91" y="T92"/>
                </a:cxn>
                <a:cxn ang="0">
                  <a:pos x="T94" y="T95"/>
                </a:cxn>
                <a:cxn ang="0">
                  <a:pos x="T97" y="T98"/>
                </a:cxn>
                <a:cxn ang="0">
                  <a:pos x="T100" y="T101"/>
                </a:cxn>
                <a:cxn ang="0">
                  <a:pos x="T103" y="T104"/>
                </a:cxn>
                <a:cxn ang="0">
                  <a:pos x="T106" y="T107"/>
                </a:cxn>
                <a:cxn ang="0">
                  <a:pos x="T109" y="T110"/>
                </a:cxn>
                <a:cxn ang="0">
                  <a:pos x="T112" y="T113"/>
                </a:cxn>
                <a:cxn ang="0">
                  <a:pos x="T115" y="T116"/>
                </a:cxn>
                <a:cxn ang="0">
                  <a:pos x="T118" y="T119"/>
                </a:cxn>
                <a:cxn ang="0">
                  <a:pos x="T121" y="T122"/>
                </a:cxn>
                <a:cxn ang="0">
                  <a:pos x="T124" y="T125"/>
                </a:cxn>
                <a:cxn ang="0">
                  <a:pos x="T127" y="T128"/>
                </a:cxn>
                <a:cxn ang="0">
                  <a:pos x="T130" y="T131"/>
                </a:cxn>
                <a:cxn ang="0">
                  <a:pos x="T133" y="T134"/>
                </a:cxn>
                <a:cxn ang="0">
                  <a:pos x="T136" y="T137"/>
                </a:cxn>
                <a:cxn ang="0">
                  <a:pos x="T139" y="T140"/>
                </a:cxn>
                <a:cxn ang="0">
                  <a:pos x="T142" y="T143"/>
                </a:cxn>
                <a:cxn ang="0">
                  <a:pos x="T145" y="T146"/>
                </a:cxn>
                <a:cxn ang="0">
                  <a:pos x="T148" y="T149"/>
                </a:cxn>
              </a:cxnLst>
              <a:rect l="0" t="0" r="r" b="b"/>
              <a:pathLst>
                <a:path w="717" h="968">
                  <a:moveTo>
                    <a:pt x="433" y="0"/>
                  </a:moveTo>
                  <a:lnTo>
                    <a:pt x="372" y="4"/>
                  </a:lnTo>
                  <a:lnTo>
                    <a:pt x="311" y="20"/>
                  </a:lnTo>
                  <a:lnTo>
                    <a:pt x="252" y="52"/>
                  </a:lnTo>
                  <a:lnTo>
                    <a:pt x="196" y="99"/>
                  </a:lnTo>
                  <a:lnTo>
                    <a:pt x="146" y="163"/>
                  </a:lnTo>
                  <a:lnTo>
                    <a:pt x="102" y="244"/>
                  </a:lnTo>
                  <a:lnTo>
                    <a:pt x="99" y="252"/>
                  </a:lnTo>
                  <a:lnTo>
                    <a:pt x="109" y="259"/>
                  </a:lnTo>
                  <a:lnTo>
                    <a:pt x="115" y="253"/>
                  </a:lnTo>
                  <a:lnTo>
                    <a:pt x="149" y="220"/>
                  </a:lnTo>
                  <a:lnTo>
                    <a:pt x="184" y="195"/>
                  </a:lnTo>
                  <a:lnTo>
                    <a:pt x="218" y="177"/>
                  </a:lnTo>
                  <a:lnTo>
                    <a:pt x="252" y="167"/>
                  </a:lnTo>
                  <a:lnTo>
                    <a:pt x="284" y="164"/>
                  </a:lnTo>
                  <a:lnTo>
                    <a:pt x="315" y="167"/>
                  </a:lnTo>
                  <a:lnTo>
                    <a:pt x="392" y="213"/>
                  </a:lnTo>
                  <a:lnTo>
                    <a:pt x="426" y="270"/>
                  </a:lnTo>
                  <a:lnTo>
                    <a:pt x="441" y="345"/>
                  </a:lnTo>
                  <a:lnTo>
                    <a:pt x="441" y="388"/>
                  </a:lnTo>
                  <a:lnTo>
                    <a:pt x="420" y="484"/>
                  </a:lnTo>
                  <a:lnTo>
                    <a:pt x="370" y="591"/>
                  </a:lnTo>
                  <a:lnTo>
                    <a:pt x="334" y="648"/>
                  </a:lnTo>
                  <a:lnTo>
                    <a:pt x="288" y="706"/>
                  </a:lnTo>
                  <a:lnTo>
                    <a:pt x="233" y="766"/>
                  </a:lnTo>
                  <a:lnTo>
                    <a:pt x="169" y="827"/>
                  </a:lnTo>
                  <a:lnTo>
                    <a:pt x="94" y="888"/>
                  </a:lnTo>
                  <a:lnTo>
                    <a:pt x="8" y="950"/>
                  </a:lnTo>
                  <a:lnTo>
                    <a:pt x="0" y="956"/>
                  </a:lnTo>
                  <a:lnTo>
                    <a:pt x="7" y="968"/>
                  </a:lnTo>
                  <a:lnTo>
                    <a:pt x="105" y="927"/>
                  </a:lnTo>
                  <a:lnTo>
                    <a:pt x="187" y="890"/>
                  </a:lnTo>
                  <a:lnTo>
                    <a:pt x="262" y="851"/>
                  </a:lnTo>
                  <a:lnTo>
                    <a:pt x="330" y="812"/>
                  </a:lnTo>
                  <a:lnTo>
                    <a:pt x="392" y="772"/>
                  </a:lnTo>
                  <a:lnTo>
                    <a:pt x="448" y="732"/>
                  </a:lnTo>
                  <a:lnTo>
                    <a:pt x="498" y="692"/>
                  </a:lnTo>
                  <a:lnTo>
                    <a:pt x="581" y="612"/>
                  </a:lnTo>
                  <a:lnTo>
                    <a:pt x="643" y="532"/>
                  </a:lnTo>
                  <a:lnTo>
                    <a:pt x="685" y="454"/>
                  </a:lnTo>
                  <a:lnTo>
                    <a:pt x="709" y="379"/>
                  </a:lnTo>
                  <a:lnTo>
                    <a:pt x="717" y="308"/>
                  </a:lnTo>
                  <a:lnTo>
                    <a:pt x="715" y="274"/>
                  </a:lnTo>
                  <a:lnTo>
                    <a:pt x="702" y="211"/>
                  </a:lnTo>
                  <a:lnTo>
                    <a:pt x="677" y="153"/>
                  </a:lnTo>
                  <a:lnTo>
                    <a:pt x="642" y="104"/>
                  </a:lnTo>
                  <a:lnTo>
                    <a:pt x="598" y="63"/>
                  </a:lnTo>
                  <a:lnTo>
                    <a:pt x="520" y="19"/>
                  </a:lnTo>
                  <a:lnTo>
                    <a:pt x="463" y="4"/>
                  </a:lnTo>
                  <a:lnTo>
                    <a:pt x="433" y="0"/>
                  </a:lnTo>
                  <a:close/>
                </a:path>
              </a:pathLst>
            </a:custGeom>
            <a:solidFill>
              <a:srgbClr val="2CB34A"/>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19" name="docshape21">
              <a:extLst>
                <a:ext uri="{FF2B5EF4-FFF2-40B4-BE49-F238E27FC236}">
                  <a16:creationId xmlns:a16="http://schemas.microsoft.com/office/drawing/2014/main" id="{6307EE4A-40C8-612D-385D-863F3F10C5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7"/>
              <a:ext cx="492" cy="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docshape22">
              <a:extLst>
                <a:ext uri="{FF2B5EF4-FFF2-40B4-BE49-F238E27FC236}">
                  <a16:creationId xmlns:a16="http://schemas.microsoft.com/office/drawing/2014/main" id="{BAE62EED-B265-F41D-4867-0B850D91F8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3"/>
              <a:ext cx="980" cy="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 name="docshape23">
              <a:extLst>
                <a:ext uri="{FF2B5EF4-FFF2-40B4-BE49-F238E27FC236}">
                  <a16:creationId xmlns:a16="http://schemas.microsoft.com/office/drawing/2014/main" id="{6C2476F8-74B2-90EE-690E-B77FACF318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2" y="33"/>
              <a:ext cx="615" cy="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docshape24">
              <a:extLst>
                <a:ext uri="{FF2B5EF4-FFF2-40B4-BE49-F238E27FC236}">
                  <a16:creationId xmlns:a16="http://schemas.microsoft.com/office/drawing/2014/main" id="{475C88DD-0840-CBE0-03A3-14413816C65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0" y="0"/>
              <a:ext cx="581"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5" name="Group 4">
            <a:extLst>
              <a:ext uri="{FF2B5EF4-FFF2-40B4-BE49-F238E27FC236}">
                <a16:creationId xmlns:a16="http://schemas.microsoft.com/office/drawing/2014/main" id="{AEA73C5E-66DA-111B-B3AA-C5F2E0612352}"/>
              </a:ext>
            </a:extLst>
          </xdr:cNvPr>
          <xdr:cNvGrpSpPr/>
        </xdr:nvGrpSpPr>
        <xdr:grpSpPr>
          <a:xfrm>
            <a:off x="3962400" y="0"/>
            <a:ext cx="2696925" cy="678180"/>
            <a:chOff x="0" y="0"/>
            <a:chExt cx="2984500" cy="678180"/>
          </a:xfrm>
        </xdr:grpSpPr>
        <xdr:grpSp>
          <xdr:nvGrpSpPr>
            <xdr:cNvPr id="6" name="docshapegroup1">
              <a:extLst>
                <a:ext uri="{FF2B5EF4-FFF2-40B4-BE49-F238E27FC236}">
                  <a16:creationId xmlns:a16="http://schemas.microsoft.com/office/drawing/2014/main" id="{2ECB2BF9-3A5E-B02C-CD23-B1EEC4B65EE3}"/>
                </a:ext>
              </a:extLst>
            </xdr:cNvPr>
            <xdr:cNvGrpSpPr>
              <a:grpSpLocks/>
            </xdr:cNvGrpSpPr>
          </xdr:nvGrpSpPr>
          <xdr:grpSpPr bwMode="auto">
            <a:xfrm>
              <a:off x="0" y="0"/>
              <a:ext cx="2984500" cy="678180"/>
              <a:chOff x="0" y="0"/>
              <a:chExt cx="4292" cy="1068"/>
            </a:xfrm>
          </xdr:grpSpPr>
          <xdr:pic>
            <xdr:nvPicPr>
              <xdr:cNvPr id="9" name="docshape2">
                <a:extLst>
                  <a:ext uri="{FF2B5EF4-FFF2-40B4-BE49-F238E27FC236}">
                    <a16:creationId xmlns:a16="http://schemas.microsoft.com/office/drawing/2014/main" id="{33B6BEB8-26EC-C8EC-E382-6D03056D6DA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600"/>
                <a:ext cx="4292" cy="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docshape3">
                <a:extLst>
                  <a:ext uri="{FF2B5EF4-FFF2-40B4-BE49-F238E27FC236}">
                    <a16:creationId xmlns:a16="http://schemas.microsoft.com/office/drawing/2014/main" id="{D23D2C55-BAA9-C3EA-26C6-44C47201ED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87" y="62"/>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 name="docshape4">
                <a:extLst>
                  <a:ext uri="{FF2B5EF4-FFF2-40B4-BE49-F238E27FC236}">
                    <a16:creationId xmlns:a16="http://schemas.microsoft.com/office/drawing/2014/main" id="{028FA9F5-EB57-9F68-127D-F6C191EBB269}"/>
                  </a:ext>
                </a:extLst>
              </xdr:cNvPr>
              <xdr:cNvSpPr>
                <a:spLocks noChangeArrowheads="1"/>
              </xdr:cNvSpPr>
            </xdr:nvSpPr>
            <xdr:spPr bwMode="auto">
              <a:xfrm>
                <a:off x="2920"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2" name="docshape5">
                <a:extLst>
                  <a:ext uri="{FF2B5EF4-FFF2-40B4-BE49-F238E27FC236}">
                    <a16:creationId xmlns:a16="http://schemas.microsoft.com/office/drawing/2014/main" id="{42D966F6-61BA-3100-427B-9B05370776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42" y="35"/>
                <a:ext cx="574" cy="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docshape6">
                <a:extLst>
                  <a:ext uri="{FF2B5EF4-FFF2-40B4-BE49-F238E27FC236}">
                    <a16:creationId xmlns:a16="http://schemas.microsoft.com/office/drawing/2014/main" id="{EA463EC2-E57C-EEDF-8341-0A2998CE8221}"/>
                  </a:ext>
                </a:extLst>
              </xdr:cNvPr>
              <xdr:cNvSpPr>
                <a:spLocks noChangeArrowheads="1"/>
              </xdr:cNvSpPr>
            </xdr:nvSpPr>
            <xdr:spPr bwMode="auto">
              <a:xfrm>
                <a:off x="3657"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4" name="docshape7">
                <a:extLst>
                  <a:ext uri="{FF2B5EF4-FFF2-40B4-BE49-F238E27FC236}">
                    <a16:creationId xmlns:a16="http://schemas.microsoft.com/office/drawing/2014/main" id="{173C1E80-E90E-4D6B-0097-D0DAC249E29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6" y="0"/>
                <a:ext cx="2067" cy="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docshape8">
                <a:extLst>
                  <a:ext uri="{FF2B5EF4-FFF2-40B4-BE49-F238E27FC236}">
                    <a16:creationId xmlns:a16="http://schemas.microsoft.com/office/drawing/2014/main" id="{F9D1D4C7-77AD-A735-02D3-6669AA364A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1" y="350"/>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 name="docshape9">
                <a:extLst>
                  <a:ext uri="{FF2B5EF4-FFF2-40B4-BE49-F238E27FC236}">
                    <a16:creationId xmlns:a16="http://schemas.microsoft.com/office/drawing/2014/main" id="{031C0D1A-2568-E6E9-2E79-962EF98DD916}"/>
                  </a:ext>
                </a:extLst>
              </xdr:cNvPr>
              <xdr:cNvSpPr>
                <a:spLocks noChangeArrowheads="1"/>
              </xdr:cNvSpPr>
            </xdr:nvSpPr>
            <xdr:spPr bwMode="auto">
              <a:xfrm>
                <a:off x="3453" y="349"/>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grpSp>
        <xdr:pic>
          <xdr:nvPicPr>
            <xdr:cNvPr id="7" name="image8.png">
              <a:extLst>
                <a:ext uri="{FF2B5EF4-FFF2-40B4-BE49-F238E27FC236}">
                  <a16:creationId xmlns:a16="http://schemas.microsoft.com/office/drawing/2014/main" id="{3CAAE46E-71EE-BA22-A1B7-44BAE326B9A6}"/>
                </a:ext>
              </a:extLst>
            </xdr:cNvPr>
            <xdr:cNvPicPr>
              <a:picLocks noChangeAspect="1"/>
            </xdr:cNvPicPr>
          </xdr:nvPicPr>
          <xdr:blipFill>
            <a:blip xmlns:r="http://schemas.openxmlformats.org/officeDocument/2006/relationships" r:embed="rId13" cstate="print"/>
            <a:stretch>
              <a:fillRect/>
            </a:stretch>
          </xdr:blipFill>
          <xdr:spPr>
            <a:xfrm>
              <a:off x="51841" y="21405"/>
              <a:ext cx="400685" cy="156845"/>
            </a:xfrm>
            <a:prstGeom prst="rect">
              <a:avLst/>
            </a:prstGeom>
          </xdr:spPr>
        </xdr:pic>
        <xdr:pic>
          <xdr:nvPicPr>
            <xdr:cNvPr id="8" name="image9.png">
              <a:extLst>
                <a:ext uri="{FF2B5EF4-FFF2-40B4-BE49-F238E27FC236}">
                  <a16:creationId xmlns:a16="http://schemas.microsoft.com/office/drawing/2014/main" id="{BCC7F2AF-9C2C-FA9A-32FD-EBA1E73D6CF5}"/>
                </a:ext>
              </a:extLst>
            </xdr:cNvPr>
            <xdr:cNvPicPr>
              <a:picLocks noChangeAspect="1"/>
            </xdr:cNvPicPr>
          </xdr:nvPicPr>
          <xdr:blipFill>
            <a:blip xmlns:r="http://schemas.openxmlformats.org/officeDocument/2006/relationships" r:embed="rId14" cstate="print"/>
            <a:stretch>
              <a:fillRect/>
            </a:stretch>
          </xdr:blipFill>
          <xdr:spPr>
            <a:xfrm>
              <a:off x="2609274" y="22040"/>
              <a:ext cx="343535" cy="161925"/>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146703</xdr:colOff>
      <xdr:row>0</xdr:row>
      <xdr:rowOff>85394</xdr:rowOff>
    </xdr:from>
    <xdr:to>
      <xdr:col>5</xdr:col>
      <xdr:colOff>1079500</xdr:colOff>
      <xdr:row>0</xdr:row>
      <xdr:rowOff>907143</xdr:rowOff>
    </xdr:to>
    <xdr:grpSp>
      <xdr:nvGrpSpPr>
        <xdr:cNvPr id="2" name="Group 1">
          <a:extLst>
            <a:ext uri="{FF2B5EF4-FFF2-40B4-BE49-F238E27FC236}">
              <a16:creationId xmlns:a16="http://schemas.microsoft.com/office/drawing/2014/main" id="{83416B47-ADF0-4EAB-9CCC-87597364D1D4}"/>
            </a:ext>
          </a:extLst>
        </xdr:cNvPr>
        <xdr:cNvGrpSpPr/>
      </xdr:nvGrpSpPr>
      <xdr:grpSpPr>
        <a:xfrm>
          <a:off x="146703" y="85394"/>
          <a:ext cx="12044142" cy="821749"/>
          <a:chOff x="0" y="0"/>
          <a:chExt cx="6659325" cy="678180"/>
        </a:xfrm>
      </xdr:grpSpPr>
      <xdr:grpSp>
        <xdr:nvGrpSpPr>
          <xdr:cNvPr id="3" name="Group 2">
            <a:extLst>
              <a:ext uri="{FF2B5EF4-FFF2-40B4-BE49-F238E27FC236}">
                <a16:creationId xmlns:a16="http://schemas.microsoft.com/office/drawing/2014/main" id="{AA9783E7-05B3-5BFA-62F9-6DE6B7A4CD00}"/>
              </a:ext>
            </a:extLst>
          </xdr:cNvPr>
          <xdr:cNvGrpSpPr/>
        </xdr:nvGrpSpPr>
        <xdr:grpSpPr>
          <a:xfrm>
            <a:off x="0" y="6350"/>
            <a:ext cx="2619846" cy="655523"/>
            <a:chOff x="0" y="0"/>
            <a:chExt cx="2620314" cy="655523"/>
          </a:xfrm>
        </xdr:grpSpPr>
        <xdr:pic>
          <xdr:nvPicPr>
            <xdr:cNvPr id="23" name="Picture 22">
              <a:extLst>
                <a:ext uri="{FF2B5EF4-FFF2-40B4-BE49-F238E27FC236}">
                  <a16:creationId xmlns:a16="http://schemas.microsoft.com/office/drawing/2014/main" id="{28D434FE-3423-5F26-D105-F7291FF2E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6" y="0"/>
              <a:ext cx="2617888" cy="3048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4" name="docshapegroup10">
              <a:extLst>
                <a:ext uri="{FF2B5EF4-FFF2-40B4-BE49-F238E27FC236}">
                  <a16:creationId xmlns:a16="http://schemas.microsoft.com/office/drawing/2014/main" id="{0390DE97-5BB7-1FDF-1B5F-7FD092553206}"/>
                </a:ext>
              </a:extLst>
            </xdr:cNvPr>
            <xdr:cNvGrpSpPr>
              <a:grpSpLocks/>
            </xdr:cNvGrpSpPr>
          </xdr:nvGrpSpPr>
          <xdr:grpSpPr bwMode="auto">
            <a:xfrm>
              <a:off x="0" y="424383"/>
              <a:ext cx="2353032" cy="231140"/>
              <a:chOff x="0" y="424383"/>
              <a:chExt cx="4102" cy="364"/>
            </a:xfrm>
          </xdr:grpSpPr>
          <xdr:pic>
            <xdr:nvPicPr>
              <xdr:cNvPr id="25" name="docshape11">
                <a:extLst>
                  <a:ext uri="{FF2B5EF4-FFF2-40B4-BE49-F238E27FC236}">
                    <a16:creationId xmlns:a16="http://schemas.microsoft.com/office/drawing/2014/main" id="{85B8F97F-3301-5639-46F0-B2290E7021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384"/>
                <a:ext cx="367"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6" name="docshape12">
                <a:extLst>
                  <a:ext uri="{FF2B5EF4-FFF2-40B4-BE49-F238E27FC236}">
                    <a16:creationId xmlns:a16="http://schemas.microsoft.com/office/drawing/2014/main" id="{B508A887-CF33-1004-0356-5547247C6C62}"/>
                  </a:ext>
                </a:extLst>
              </xdr:cNvPr>
              <xdr:cNvSpPr>
                <a:spLocks/>
              </xdr:cNvSpPr>
            </xdr:nvSpPr>
            <xdr:spPr bwMode="auto">
              <a:xfrm>
                <a:off x="397" y="424387"/>
                <a:ext cx="17" cy="133"/>
              </a:xfrm>
              <a:custGeom>
                <a:avLst/>
                <a:gdLst>
                  <a:gd name="T0" fmla="+- 0 1030 1016"/>
                  <a:gd name="T1" fmla="*/ T0 w 17"/>
                  <a:gd name="T2" fmla="+- 0 1407 1370"/>
                  <a:gd name="T3" fmla="*/ 1407 h 133"/>
                  <a:gd name="T4" fmla="+- 0 1018 1016"/>
                  <a:gd name="T5" fmla="*/ T4 w 17"/>
                  <a:gd name="T6" fmla="+- 0 1407 1370"/>
                  <a:gd name="T7" fmla="*/ 1407 h 133"/>
                  <a:gd name="T8" fmla="+- 0 1018 1016"/>
                  <a:gd name="T9" fmla="*/ T8 w 17"/>
                  <a:gd name="T10" fmla="+- 0 1502 1370"/>
                  <a:gd name="T11" fmla="*/ 1502 h 133"/>
                  <a:gd name="T12" fmla="+- 0 1030 1016"/>
                  <a:gd name="T13" fmla="*/ T12 w 17"/>
                  <a:gd name="T14" fmla="+- 0 1502 1370"/>
                  <a:gd name="T15" fmla="*/ 1502 h 133"/>
                  <a:gd name="T16" fmla="+- 0 1030 1016"/>
                  <a:gd name="T17" fmla="*/ T16 w 17"/>
                  <a:gd name="T18" fmla="+- 0 1407 1370"/>
                  <a:gd name="T19" fmla="*/ 1407 h 133"/>
                  <a:gd name="T20" fmla="+- 0 1027 1016"/>
                  <a:gd name="T21" fmla="*/ T20 w 17"/>
                  <a:gd name="T22" fmla="+- 0 1370 1370"/>
                  <a:gd name="T23" fmla="*/ 1370 h 133"/>
                  <a:gd name="T24" fmla="+- 0 1021 1016"/>
                  <a:gd name="T25" fmla="*/ T24 w 17"/>
                  <a:gd name="T26" fmla="+- 0 1370 1370"/>
                  <a:gd name="T27" fmla="*/ 1370 h 133"/>
                  <a:gd name="T28" fmla="+- 0 1019 1016"/>
                  <a:gd name="T29" fmla="*/ T28 w 17"/>
                  <a:gd name="T30" fmla="+- 0 1371 1370"/>
                  <a:gd name="T31" fmla="*/ 1371 h 133"/>
                  <a:gd name="T32" fmla="+- 0 1016 1016"/>
                  <a:gd name="T33" fmla="*/ T32 w 17"/>
                  <a:gd name="T34" fmla="+- 0 1374 1370"/>
                  <a:gd name="T35" fmla="*/ 1374 h 133"/>
                  <a:gd name="T36" fmla="+- 0 1016 1016"/>
                  <a:gd name="T37" fmla="*/ T36 w 17"/>
                  <a:gd name="T38" fmla="+- 0 1376 1370"/>
                  <a:gd name="T39" fmla="*/ 1376 h 133"/>
                  <a:gd name="T40" fmla="+- 0 1016 1016"/>
                  <a:gd name="T41" fmla="*/ T40 w 17"/>
                  <a:gd name="T42" fmla="+- 0 1381 1370"/>
                  <a:gd name="T43" fmla="*/ 1381 h 133"/>
                  <a:gd name="T44" fmla="+- 0 1016 1016"/>
                  <a:gd name="T45" fmla="*/ T44 w 17"/>
                  <a:gd name="T46" fmla="+- 0 1383 1370"/>
                  <a:gd name="T47" fmla="*/ 1383 h 133"/>
                  <a:gd name="T48" fmla="+- 0 1019 1016"/>
                  <a:gd name="T49" fmla="*/ T48 w 17"/>
                  <a:gd name="T50" fmla="+- 0 1387 1370"/>
                  <a:gd name="T51" fmla="*/ 1387 h 133"/>
                  <a:gd name="T52" fmla="+- 0 1021 1016"/>
                  <a:gd name="T53" fmla="*/ T52 w 17"/>
                  <a:gd name="T54" fmla="+- 0 1387 1370"/>
                  <a:gd name="T55" fmla="*/ 1387 h 133"/>
                  <a:gd name="T56" fmla="+- 0 1027 1016"/>
                  <a:gd name="T57" fmla="*/ T56 w 17"/>
                  <a:gd name="T58" fmla="+- 0 1387 1370"/>
                  <a:gd name="T59" fmla="*/ 1387 h 133"/>
                  <a:gd name="T60" fmla="+- 0 1029 1016"/>
                  <a:gd name="T61" fmla="*/ T60 w 17"/>
                  <a:gd name="T62" fmla="+- 0 1387 1370"/>
                  <a:gd name="T63" fmla="*/ 1387 h 133"/>
                  <a:gd name="T64" fmla="+- 0 1032 1016"/>
                  <a:gd name="T65" fmla="*/ T64 w 17"/>
                  <a:gd name="T66" fmla="+- 0 1383 1370"/>
                  <a:gd name="T67" fmla="*/ 1383 h 133"/>
                  <a:gd name="T68" fmla="+- 0 1032 1016"/>
                  <a:gd name="T69" fmla="*/ T68 w 17"/>
                  <a:gd name="T70" fmla="+- 0 1381 1370"/>
                  <a:gd name="T71" fmla="*/ 1381 h 133"/>
                  <a:gd name="T72" fmla="+- 0 1032 1016"/>
                  <a:gd name="T73" fmla="*/ T72 w 17"/>
                  <a:gd name="T74" fmla="+- 0 1376 1370"/>
                  <a:gd name="T75" fmla="*/ 1376 h 133"/>
                  <a:gd name="T76" fmla="+- 0 1032 1016"/>
                  <a:gd name="T77" fmla="*/ T76 w 17"/>
                  <a:gd name="T78" fmla="+- 0 1374 1370"/>
                  <a:gd name="T79" fmla="*/ 1374 h 133"/>
                  <a:gd name="T80" fmla="+- 0 1029 1016"/>
                  <a:gd name="T81" fmla="*/ T80 w 17"/>
                  <a:gd name="T82" fmla="+- 0 1371 1370"/>
                  <a:gd name="T83" fmla="*/ 1371 h 133"/>
                  <a:gd name="T84" fmla="+- 0 1027 1016"/>
                  <a:gd name="T85" fmla="*/ T84 w 17"/>
                  <a:gd name="T86" fmla="+- 0 1370 1370"/>
                  <a:gd name="T87" fmla="*/ 1370 h 133"/>
                </a:gdLst>
                <a:ahLst/>
                <a:cxnLst>
                  <a:cxn ang="0">
                    <a:pos x="T1" y="T3"/>
                  </a:cxn>
                  <a:cxn ang="0">
                    <a:pos x="T5" y="T7"/>
                  </a:cxn>
                  <a:cxn ang="0">
                    <a:pos x="T9" y="T11"/>
                  </a:cxn>
                  <a:cxn ang="0">
                    <a:pos x="T13" y="T15"/>
                  </a:cxn>
                  <a:cxn ang="0">
                    <a:pos x="T17" y="T19"/>
                  </a:cxn>
                  <a:cxn ang="0">
                    <a:pos x="T21" y="T23"/>
                  </a:cxn>
                  <a:cxn ang="0">
                    <a:pos x="T25" y="T27"/>
                  </a:cxn>
                  <a:cxn ang="0">
                    <a:pos x="T29" y="T31"/>
                  </a:cxn>
                  <a:cxn ang="0">
                    <a:pos x="T33" y="T35"/>
                  </a:cxn>
                  <a:cxn ang="0">
                    <a:pos x="T37" y="T39"/>
                  </a:cxn>
                  <a:cxn ang="0">
                    <a:pos x="T41" y="T43"/>
                  </a:cxn>
                  <a:cxn ang="0">
                    <a:pos x="T45" y="T47"/>
                  </a:cxn>
                  <a:cxn ang="0">
                    <a:pos x="T49" y="T51"/>
                  </a:cxn>
                  <a:cxn ang="0">
                    <a:pos x="T53" y="T55"/>
                  </a:cxn>
                  <a:cxn ang="0">
                    <a:pos x="T57" y="T59"/>
                  </a:cxn>
                  <a:cxn ang="0">
                    <a:pos x="T61" y="T63"/>
                  </a:cxn>
                  <a:cxn ang="0">
                    <a:pos x="T65" y="T67"/>
                  </a:cxn>
                  <a:cxn ang="0">
                    <a:pos x="T69" y="T71"/>
                  </a:cxn>
                  <a:cxn ang="0">
                    <a:pos x="T73" y="T75"/>
                  </a:cxn>
                  <a:cxn ang="0">
                    <a:pos x="T77" y="T79"/>
                  </a:cxn>
                  <a:cxn ang="0">
                    <a:pos x="T81" y="T83"/>
                  </a:cxn>
                  <a:cxn ang="0">
                    <a:pos x="T85" y="T87"/>
                  </a:cxn>
                </a:cxnLst>
                <a:rect l="0" t="0" r="r" b="b"/>
                <a:pathLst>
                  <a:path w="17" h="133">
                    <a:moveTo>
                      <a:pt x="14" y="37"/>
                    </a:moveTo>
                    <a:lnTo>
                      <a:pt x="2" y="37"/>
                    </a:lnTo>
                    <a:lnTo>
                      <a:pt x="2" y="132"/>
                    </a:lnTo>
                    <a:lnTo>
                      <a:pt x="14" y="132"/>
                    </a:lnTo>
                    <a:lnTo>
                      <a:pt x="14" y="37"/>
                    </a:lnTo>
                    <a:close/>
                    <a:moveTo>
                      <a:pt x="11" y="0"/>
                    </a:moveTo>
                    <a:lnTo>
                      <a:pt x="5" y="0"/>
                    </a:lnTo>
                    <a:lnTo>
                      <a:pt x="3" y="1"/>
                    </a:lnTo>
                    <a:lnTo>
                      <a:pt x="0" y="4"/>
                    </a:lnTo>
                    <a:lnTo>
                      <a:pt x="0" y="6"/>
                    </a:lnTo>
                    <a:lnTo>
                      <a:pt x="0" y="11"/>
                    </a:lnTo>
                    <a:lnTo>
                      <a:pt x="0" y="13"/>
                    </a:lnTo>
                    <a:lnTo>
                      <a:pt x="3" y="17"/>
                    </a:lnTo>
                    <a:lnTo>
                      <a:pt x="5" y="17"/>
                    </a:lnTo>
                    <a:lnTo>
                      <a:pt x="11" y="17"/>
                    </a:lnTo>
                    <a:lnTo>
                      <a:pt x="13" y="17"/>
                    </a:lnTo>
                    <a:lnTo>
                      <a:pt x="16" y="13"/>
                    </a:lnTo>
                    <a:lnTo>
                      <a:pt x="16" y="11"/>
                    </a:lnTo>
                    <a:lnTo>
                      <a:pt x="16" y="6"/>
                    </a:lnTo>
                    <a:lnTo>
                      <a:pt x="16" y="4"/>
                    </a:lnTo>
                    <a:lnTo>
                      <a:pt x="13" y="1"/>
                    </a:lnTo>
                    <a:lnTo>
                      <a:pt x="11" y="0"/>
                    </a:lnTo>
                    <a:close/>
                  </a:path>
                </a:pathLst>
              </a:custGeom>
              <a:solidFill>
                <a:srgbClr val="231F20"/>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27" name="docshape13">
                <a:extLst>
                  <a:ext uri="{FF2B5EF4-FFF2-40B4-BE49-F238E27FC236}">
                    <a16:creationId xmlns:a16="http://schemas.microsoft.com/office/drawing/2014/main" id="{FF1A3B54-F29C-FA0A-A33F-CD65660B63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 y="424383"/>
                <a:ext cx="3624" cy="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grpSp>
        <xdr:nvGrpSpPr>
          <xdr:cNvPr id="4" name="docshapegroup18">
            <a:extLst>
              <a:ext uri="{FF2B5EF4-FFF2-40B4-BE49-F238E27FC236}">
                <a16:creationId xmlns:a16="http://schemas.microsoft.com/office/drawing/2014/main" id="{C6D138B5-DFD1-8B93-F4B7-AF50294DD7EF}"/>
              </a:ext>
            </a:extLst>
          </xdr:cNvPr>
          <xdr:cNvGrpSpPr/>
        </xdr:nvGrpSpPr>
        <xdr:grpSpPr bwMode="auto">
          <a:xfrm>
            <a:off x="2965450" y="38100"/>
            <a:ext cx="728345" cy="621030"/>
            <a:chOff x="0" y="0"/>
            <a:chExt cx="1147" cy="978"/>
          </a:xfrm>
        </xdr:grpSpPr>
        <xdr:sp macro="" textlink="">
          <xdr:nvSpPr>
            <xdr:cNvPr id="17" name="docshape19">
              <a:extLst>
                <a:ext uri="{FF2B5EF4-FFF2-40B4-BE49-F238E27FC236}">
                  <a16:creationId xmlns:a16="http://schemas.microsoft.com/office/drawing/2014/main" id="{D2AE6EE7-FD82-4CE8-8D48-EF4727FD3163}"/>
                </a:ext>
              </a:extLst>
            </xdr:cNvPr>
            <xdr:cNvSpPr>
              <a:spLocks/>
            </xdr:cNvSpPr>
          </xdr:nvSpPr>
          <xdr:spPr bwMode="auto">
            <a:xfrm>
              <a:off x="0" y="127"/>
              <a:ext cx="493" cy="548"/>
            </a:xfrm>
            <a:custGeom>
              <a:avLst/>
              <a:gdLst>
                <a:gd name="T0" fmla="*/ 216 w 493"/>
                <a:gd name="T1" fmla="+- 0 127 127"/>
                <a:gd name="T2" fmla="*/ 127 h 548"/>
                <a:gd name="T3" fmla="*/ 143 w 493"/>
                <a:gd name="T4" fmla="+- 0 137 127"/>
                <a:gd name="T5" fmla="*/ 137 h 548"/>
                <a:gd name="T6" fmla="*/ 82 w 493"/>
                <a:gd name="T7" fmla="+- 0 166 127"/>
                <a:gd name="T8" fmla="*/ 166 h 548"/>
                <a:gd name="T9" fmla="*/ 36 w 493"/>
                <a:gd name="T10" fmla="+- 0 212 127"/>
                <a:gd name="T11" fmla="*/ 212 h 548"/>
                <a:gd name="T12" fmla="*/ 7 w 493"/>
                <a:gd name="T13" fmla="+- 0 270 127"/>
                <a:gd name="T14" fmla="*/ 270 h 548"/>
                <a:gd name="T15" fmla="*/ 0 w 493"/>
                <a:gd name="T16" fmla="+- 0 337 127"/>
                <a:gd name="T17" fmla="*/ 337 h 548"/>
                <a:gd name="T18" fmla="*/ 5 w 493"/>
                <a:gd name="T19" fmla="+- 0 372 127"/>
                <a:gd name="T20" fmla="*/ 372 h 548"/>
                <a:gd name="T21" fmla="*/ 33 w 493"/>
                <a:gd name="T22" fmla="+- 0 444 127"/>
                <a:gd name="T23" fmla="*/ 444 h 548"/>
                <a:gd name="T24" fmla="*/ 89 w 493"/>
                <a:gd name="T25" fmla="+- 0 513 127"/>
                <a:gd name="T26" fmla="*/ 513 h 548"/>
                <a:gd name="T27" fmla="*/ 175 w 493"/>
                <a:gd name="T28" fmla="+- 0 578 127"/>
                <a:gd name="T29" fmla="*/ 578 h 548"/>
                <a:gd name="T30" fmla="*/ 230 w 493"/>
                <a:gd name="T31" fmla="+- 0 606 127"/>
                <a:gd name="T32" fmla="*/ 606 h 548"/>
                <a:gd name="T33" fmla="*/ 293 w 493"/>
                <a:gd name="T34" fmla="+- 0 632 127"/>
                <a:gd name="T35" fmla="*/ 632 h 548"/>
                <a:gd name="T36" fmla="*/ 366 w 493"/>
                <a:gd name="T37" fmla="+- 0 655 127"/>
                <a:gd name="T38" fmla="*/ 655 h 548"/>
                <a:gd name="T39" fmla="*/ 447 w 493"/>
                <a:gd name="T40" fmla="+- 0 673 127"/>
                <a:gd name="T41" fmla="*/ 673 h 548"/>
                <a:gd name="T42" fmla="*/ 456 w 493"/>
                <a:gd name="T43" fmla="+- 0 675 127"/>
                <a:gd name="T44" fmla="*/ 675 h 548"/>
                <a:gd name="T45" fmla="*/ 461 w 493"/>
                <a:gd name="T46" fmla="+- 0 662 127"/>
                <a:gd name="T47" fmla="*/ 662 h 548"/>
                <a:gd name="T48" fmla="*/ 452 w 493"/>
                <a:gd name="T49" fmla="+- 0 658 127"/>
                <a:gd name="T50" fmla="*/ 658 h 548"/>
                <a:gd name="T51" fmla="*/ 374 w 493"/>
                <a:gd name="T52" fmla="+- 0 616 127"/>
                <a:gd name="T53" fmla="*/ 616 h 548"/>
                <a:gd name="T54" fmla="*/ 312 w 493"/>
                <a:gd name="T55" fmla="+- 0 567 127"/>
                <a:gd name="T56" fmla="*/ 567 h 548"/>
                <a:gd name="T57" fmla="*/ 266 w 493"/>
                <a:gd name="T58" fmla="+- 0 514 127"/>
                <a:gd name="T59" fmla="*/ 514 h 548"/>
                <a:gd name="T60" fmla="*/ 235 w 493"/>
                <a:gd name="T61" fmla="+- 0 459 127"/>
                <a:gd name="T62" fmla="*/ 459 h 548"/>
                <a:gd name="T63" fmla="*/ 218 w 493"/>
                <a:gd name="T64" fmla="+- 0 356 127"/>
                <a:gd name="T65" fmla="*/ 356 h 548"/>
                <a:gd name="T66" fmla="*/ 231 w 493"/>
                <a:gd name="T67" fmla="+- 0 313 127"/>
                <a:gd name="T68" fmla="*/ 313 h 548"/>
                <a:gd name="T69" fmla="*/ 259 w 493"/>
                <a:gd name="T70" fmla="+- 0 278 127"/>
                <a:gd name="T71" fmla="*/ 278 h 548"/>
                <a:gd name="T72" fmla="*/ 300 w 493"/>
                <a:gd name="T73" fmla="+- 0 256 127"/>
                <a:gd name="T74" fmla="*/ 256 h 548"/>
                <a:gd name="T75" fmla="*/ 355 w 493"/>
                <a:gd name="T76" fmla="+- 0 248 127"/>
                <a:gd name="T77" fmla="*/ 248 h 548"/>
                <a:gd name="T78" fmla="*/ 382 w 493"/>
                <a:gd name="T79" fmla="+- 0 249 127"/>
                <a:gd name="T80" fmla="*/ 249 h 548"/>
                <a:gd name="T81" fmla="*/ 412 w 493"/>
                <a:gd name="T82" fmla="+- 0 254 127"/>
                <a:gd name="T83" fmla="*/ 254 h 548"/>
                <a:gd name="T84" fmla="*/ 444 w 493"/>
                <a:gd name="T85" fmla="+- 0 262 127"/>
                <a:gd name="T86" fmla="*/ 262 h 548"/>
                <a:gd name="T87" fmla="*/ 478 w 493"/>
                <a:gd name="T88" fmla="+- 0 275 127"/>
                <a:gd name="T89" fmla="*/ 275 h 548"/>
                <a:gd name="T90" fmla="*/ 486 w 493"/>
                <a:gd name="T91" fmla="+- 0 278 127"/>
                <a:gd name="T92" fmla="*/ 278 h 548"/>
                <a:gd name="T93" fmla="*/ 492 w 493"/>
                <a:gd name="T94" fmla="+- 0 268 127"/>
                <a:gd name="T95" fmla="*/ 268 h 548"/>
                <a:gd name="T96" fmla="*/ 438 w 493"/>
                <a:gd name="T97" fmla="+- 0 220 127"/>
                <a:gd name="T98" fmla="*/ 220 h 548"/>
                <a:gd name="T99" fmla="*/ 345 w 493"/>
                <a:gd name="T100" fmla="+- 0 161 127"/>
                <a:gd name="T101" fmla="*/ 161 h 548"/>
                <a:gd name="T102" fmla="*/ 257 w 493"/>
                <a:gd name="T103" fmla="+- 0 132 127"/>
                <a:gd name="T104" fmla="*/ 132 h 548"/>
                <a:gd name="T105" fmla="*/ 216 w 493"/>
                <a:gd name="T106" fmla="+- 0 127 127"/>
                <a:gd name="T107" fmla="*/ 127 h 548"/>
              </a:gdLst>
              <a:ahLst/>
              <a:cxnLst>
                <a:cxn ang="0">
                  <a:pos x="T0" y="T2"/>
                </a:cxn>
                <a:cxn ang="0">
                  <a:pos x="T3" y="T5"/>
                </a:cxn>
                <a:cxn ang="0">
                  <a:pos x="T6" y="T8"/>
                </a:cxn>
                <a:cxn ang="0">
                  <a:pos x="T9" y="T11"/>
                </a:cxn>
                <a:cxn ang="0">
                  <a:pos x="T12" y="T14"/>
                </a:cxn>
                <a:cxn ang="0">
                  <a:pos x="T15" y="T17"/>
                </a:cxn>
                <a:cxn ang="0">
                  <a:pos x="T18" y="T20"/>
                </a:cxn>
                <a:cxn ang="0">
                  <a:pos x="T21" y="T23"/>
                </a:cxn>
                <a:cxn ang="0">
                  <a:pos x="T24" y="T26"/>
                </a:cxn>
                <a:cxn ang="0">
                  <a:pos x="T27" y="T29"/>
                </a:cxn>
                <a:cxn ang="0">
                  <a:pos x="T30" y="T32"/>
                </a:cxn>
                <a:cxn ang="0">
                  <a:pos x="T33" y="T35"/>
                </a:cxn>
                <a:cxn ang="0">
                  <a:pos x="T36" y="T38"/>
                </a:cxn>
                <a:cxn ang="0">
                  <a:pos x="T39" y="T41"/>
                </a:cxn>
                <a:cxn ang="0">
                  <a:pos x="T42" y="T44"/>
                </a:cxn>
                <a:cxn ang="0">
                  <a:pos x="T45" y="T47"/>
                </a:cxn>
                <a:cxn ang="0">
                  <a:pos x="T48" y="T50"/>
                </a:cxn>
                <a:cxn ang="0">
                  <a:pos x="T51" y="T53"/>
                </a:cxn>
                <a:cxn ang="0">
                  <a:pos x="T54" y="T56"/>
                </a:cxn>
                <a:cxn ang="0">
                  <a:pos x="T57" y="T59"/>
                </a:cxn>
                <a:cxn ang="0">
                  <a:pos x="T60" y="T62"/>
                </a:cxn>
                <a:cxn ang="0">
                  <a:pos x="T63" y="T65"/>
                </a:cxn>
                <a:cxn ang="0">
                  <a:pos x="T66" y="T68"/>
                </a:cxn>
                <a:cxn ang="0">
                  <a:pos x="T69" y="T71"/>
                </a:cxn>
                <a:cxn ang="0">
                  <a:pos x="T72" y="T74"/>
                </a:cxn>
                <a:cxn ang="0">
                  <a:pos x="T75" y="T77"/>
                </a:cxn>
                <a:cxn ang="0">
                  <a:pos x="T78" y="T80"/>
                </a:cxn>
                <a:cxn ang="0">
                  <a:pos x="T81" y="T83"/>
                </a:cxn>
                <a:cxn ang="0">
                  <a:pos x="T84" y="T86"/>
                </a:cxn>
                <a:cxn ang="0">
                  <a:pos x="T87" y="T89"/>
                </a:cxn>
                <a:cxn ang="0">
                  <a:pos x="T90" y="T92"/>
                </a:cxn>
                <a:cxn ang="0">
                  <a:pos x="T93" y="T95"/>
                </a:cxn>
                <a:cxn ang="0">
                  <a:pos x="T96" y="T98"/>
                </a:cxn>
                <a:cxn ang="0">
                  <a:pos x="T99" y="T101"/>
                </a:cxn>
                <a:cxn ang="0">
                  <a:pos x="T102" y="T104"/>
                </a:cxn>
                <a:cxn ang="0">
                  <a:pos x="T105" y="T107"/>
                </a:cxn>
              </a:cxnLst>
              <a:rect l="0" t="0" r="r" b="b"/>
              <a:pathLst>
                <a:path w="493" h="548">
                  <a:moveTo>
                    <a:pt x="216" y="0"/>
                  </a:moveTo>
                  <a:lnTo>
                    <a:pt x="143" y="10"/>
                  </a:lnTo>
                  <a:lnTo>
                    <a:pt x="82" y="39"/>
                  </a:lnTo>
                  <a:lnTo>
                    <a:pt x="36" y="85"/>
                  </a:lnTo>
                  <a:lnTo>
                    <a:pt x="7" y="143"/>
                  </a:lnTo>
                  <a:lnTo>
                    <a:pt x="0" y="210"/>
                  </a:lnTo>
                  <a:lnTo>
                    <a:pt x="5" y="245"/>
                  </a:lnTo>
                  <a:lnTo>
                    <a:pt x="33" y="317"/>
                  </a:lnTo>
                  <a:lnTo>
                    <a:pt x="89" y="386"/>
                  </a:lnTo>
                  <a:lnTo>
                    <a:pt x="175" y="451"/>
                  </a:lnTo>
                  <a:lnTo>
                    <a:pt x="230" y="479"/>
                  </a:lnTo>
                  <a:lnTo>
                    <a:pt x="293" y="505"/>
                  </a:lnTo>
                  <a:lnTo>
                    <a:pt x="366" y="528"/>
                  </a:lnTo>
                  <a:lnTo>
                    <a:pt x="447" y="546"/>
                  </a:lnTo>
                  <a:lnTo>
                    <a:pt x="456" y="548"/>
                  </a:lnTo>
                  <a:lnTo>
                    <a:pt x="461" y="535"/>
                  </a:lnTo>
                  <a:lnTo>
                    <a:pt x="452" y="531"/>
                  </a:lnTo>
                  <a:lnTo>
                    <a:pt x="374" y="489"/>
                  </a:lnTo>
                  <a:lnTo>
                    <a:pt x="312" y="440"/>
                  </a:lnTo>
                  <a:lnTo>
                    <a:pt x="266" y="387"/>
                  </a:lnTo>
                  <a:lnTo>
                    <a:pt x="235" y="332"/>
                  </a:lnTo>
                  <a:lnTo>
                    <a:pt x="218" y="229"/>
                  </a:lnTo>
                  <a:lnTo>
                    <a:pt x="231" y="186"/>
                  </a:lnTo>
                  <a:lnTo>
                    <a:pt x="259" y="151"/>
                  </a:lnTo>
                  <a:lnTo>
                    <a:pt x="300" y="129"/>
                  </a:lnTo>
                  <a:lnTo>
                    <a:pt x="355" y="121"/>
                  </a:lnTo>
                  <a:lnTo>
                    <a:pt x="382" y="122"/>
                  </a:lnTo>
                  <a:lnTo>
                    <a:pt x="412" y="127"/>
                  </a:lnTo>
                  <a:lnTo>
                    <a:pt x="444" y="135"/>
                  </a:lnTo>
                  <a:lnTo>
                    <a:pt x="478" y="148"/>
                  </a:lnTo>
                  <a:lnTo>
                    <a:pt x="486" y="151"/>
                  </a:lnTo>
                  <a:lnTo>
                    <a:pt x="492" y="141"/>
                  </a:lnTo>
                  <a:lnTo>
                    <a:pt x="438" y="93"/>
                  </a:lnTo>
                  <a:lnTo>
                    <a:pt x="345" y="34"/>
                  </a:lnTo>
                  <a:lnTo>
                    <a:pt x="257" y="5"/>
                  </a:lnTo>
                  <a:lnTo>
                    <a:pt x="216" y="0"/>
                  </a:lnTo>
                  <a:close/>
                </a:path>
              </a:pathLst>
            </a:custGeom>
            <a:solidFill>
              <a:srgbClr val="00AAE7"/>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8" name="docshape20">
              <a:extLst>
                <a:ext uri="{FF2B5EF4-FFF2-40B4-BE49-F238E27FC236}">
                  <a16:creationId xmlns:a16="http://schemas.microsoft.com/office/drawing/2014/main" id="{4B8070AD-21FE-2BE3-5E7E-B2185B6429CB}"/>
                </a:ext>
              </a:extLst>
            </xdr:cNvPr>
            <xdr:cNvSpPr>
              <a:spLocks/>
            </xdr:cNvSpPr>
          </xdr:nvSpPr>
          <xdr:spPr bwMode="auto">
            <a:xfrm>
              <a:off x="430" y="0"/>
              <a:ext cx="717" cy="968"/>
            </a:xfrm>
            <a:custGeom>
              <a:avLst/>
              <a:gdLst>
                <a:gd name="T0" fmla="+- 0 863 430"/>
                <a:gd name="T1" fmla="*/ T0 w 717"/>
                <a:gd name="T2" fmla="*/ 0 h 968"/>
                <a:gd name="T3" fmla="+- 0 802 430"/>
                <a:gd name="T4" fmla="*/ T3 w 717"/>
                <a:gd name="T5" fmla="*/ 4 h 968"/>
                <a:gd name="T6" fmla="+- 0 741 430"/>
                <a:gd name="T7" fmla="*/ T6 w 717"/>
                <a:gd name="T8" fmla="*/ 20 h 968"/>
                <a:gd name="T9" fmla="+- 0 682 430"/>
                <a:gd name="T10" fmla="*/ T9 w 717"/>
                <a:gd name="T11" fmla="*/ 52 h 968"/>
                <a:gd name="T12" fmla="+- 0 626 430"/>
                <a:gd name="T13" fmla="*/ T12 w 717"/>
                <a:gd name="T14" fmla="*/ 99 h 968"/>
                <a:gd name="T15" fmla="+- 0 576 430"/>
                <a:gd name="T16" fmla="*/ T15 w 717"/>
                <a:gd name="T17" fmla="*/ 163 h 968"/>
                <a:gd name="T18" fmla="+- 0 532 430"/>
                <a:gd name="T19" fmla="*/ T18 w 717"/>
                <a:gd name="T20" fmla="*/ 244 h 968"/>
                <a:gd name="T21" fmla="+- 0 529 430"/>
                <a:gd name="T22" fmla="*/ T21 w 717"/>
                <a:gd name="T23" fmla="*/ 252 h 968"/>
                <a:gd name="T24" fmla="+- 0 539 430"/>
                <a:gd name="T25" fmla="*/ T24 w 717"/>
                <a:gd name="T26" fmla="*/ 259 h 968"/>
                <a:gd name="T27" fmla="+- 0 545 430"/>
                <a:gd name="T28" fmla="*/ T27 w 717"/>
                <a:gd name="T29" fmla="*/ 253 h 968"/>
                <a:gd name="T30" fmla="+- 0 579 430"/>
                <a:gd name="T31" fmla="*/ T30 w 717"/>
                <a:gd name="T32" fmla="*/ 220 h 968"/>
                <a:gd name="T33" fmla="+- 0 614 430"/>
                <a:gd name="T34" fmla="*/ T33 w 717"/>
                <a:gd name="T35" fmla="*/ 195 h 968"/>
                <a:gd name="T36" fmla="+- 0 648 430"/>
                <a:gd name="T37" fmla="*/ T36 w 717"/>
                <a:gd name="T38" fmla="*/ 177 h 968"/>
                <a:gd name="T39" fmla="+- 0 682 430"/>
                <a:gd name="T40" fmla="*/ T39 w 717"/>
                <a:gd name="T41" fmla="*/ 167 h 968"/>
                <a:gd name="T42" fmla="+- 0 714 430"/>
                <a:gd name="T43" fmla="*/ T42 w 717"/>
                <a:gd name="T44" fmla="*/ 164 h 968"/>
                <a:gd name="T45" fmla="+- 0 745 430"/>
                <a:gd name="T46" fmla="*/ T45 w 717"/>
                <a:gd name="T47" fmla="*/ 167 h 968"/>
                <a:gd name="T48" fmla="+- 0 822 430"/>
                <a:gd name="T49" fmla="*/ T48 w 717"/>
                <a:gd name="T50" fmla="*/ 213 h 968"/>
                <a:gd name="T51" fmla="+- 0 856 430"/>
                <a:gd name="T52" fmla="*/ T51 w 717"/>
                <a:gd name="T53" fmla="*/ 270 h 968"/>
                <a:gd name="T54" fmla="+- 0 871 430"/>
                <a:gd name="T55" fmla="*/ T54 w 717"/>
                <a:gd name="T56" fmla="*/ 345 h 968"/>
                <a:gd name="T57" fmla="+- 0 871 430"/>
                <a:gd name="T58" fmla="*/ T57 w 717"/>
                <a:gd name="T59" fmla="*/ 388 h 968"/>
                <a:gd name="T60" fmla="+- 0 850 430"/>
                <a:gd name="T61" fmla="*/ T60 w 717"/>
                <a:gd name="T62" fmla="*/ 484 h 968"/>
                <a:gd name="T63" fmla="+- 0 800 430"/>
                <a:gd name="T64" fmla="*/ T63 w 717"/>
                <a:gd name="T65" fmla="*/ 591 h 968"/>
                <a:gd name="T66" fmla="+- 0 764 430"/>
                <a:gd name="T67" fmla="*/ T66 w 717"/>
                <a:gd name="T68" fmla="*/ 648 h 968"/>
                <a:gd name="T69" fmla="+- 0 718 430"/>
                <a:gd name="T70" fmla="*/ T69 w 717"/>
                <a:gd name="T71" fmla="*/ 706 h 968"/>
                <a:gd name="T72" fmla="+- 0 663 430"/>
                <a:gd name="T73" fmla="*/ T72 w 717"/>
                <a:gd name="T74" fmla="*/ 766 h 968"/>
                <a:gd name="T75" fmla="+- 0 599 430"/>
                <a:gd name="T76" fmla="*/ T75 w 717"/>
                <a:gd name="T77" fmla="*/ 827 h 968"/>
                <a:gd name="T78" fmla="+- 0 524 430"/>
                <a:gd name="T79" fmla="*/ T78 w 717"/>
                <a:gd name="T80" fmla="*/ 888 h 968"/>
                <a:gd name="T81" fmla="+- 0 438 430"/>
                <a:gd name="T82" fmla="*/ T81 w 717"/>
                <a:gd name="T83" fmla="*/ 950 h 968"/>
                <a:gd name="T84" fmla="+- 0 430 430"/>
                <a:gd name="T85" fmla="*/ T84 w 717"/>
                <a:gd name="T86" fmla="*/ 956 h 968"/>
                <a:gd name="T87" fmla="+- 0 437 430"/>
                <a:gd name="T88" fmla="*/ T87 w 717"/>
                <a:gd name="T89" fmla="*/ 968 h 968"/>
                <a:gd name="T90" fmla="+- 0 535 430"/>
                <a:gd name="T91" fmla="*/ T90 w 717"/>
                <a:gd name="T92" fmla="*/ 927 h 968"/>
                <a:gd name="T93" fmla="+- 0 617 430"/>
                <a:gd name="T94" fmla="*/ T93 w 717"/>
                <a:gd name="T95" fmla="*/ 890 h 968"/>
                <a:gd name="T96" fmla="+- 0 692 430"/>
                <a:gd name="T97" fmla="*/ T96 w 717"/>
                <a:gd name="T98" fmla="*/ 851 h 968"/>
                <a:gd name="T99" fmla="+- 0 760 430"/>
                <a:gd name="T100" fmla="*/ T99 w 717"/>
                <a:gd name="T101" fmla="*/ 812 h 968"/>
                <a:gd name="T102" fmla="+- 0 822 430"/>
                <a:gd name="T103" fmla="*/ T102 w 717"/>
                <a:gd name="T104" fmla="*/ 772 h 968"/>
                <a:gd name="T105" fmla="+- 0 878 430"/>
                <a:gd name="T106" fmla="*/ T105 w 717"/>
                <a:gd name="T107" fmla="*/ 732 h 968"/>
                <a:gd name="T108" fmla="+- 0 928 430"/>
                <a:gd name="T109" fmla="*/ T108 w 717"/>
                <a:gd name="T110" fmla="*/ 692 h 968"/>
                <a:gd name="T111" fmla="+- 0 1011 430"/>
                <a:gd name="T112" fmla="*/ T111 w 717"/>
                <a:gd name="T113" fmla="*/ 612 h 968"/>
                <a:gd name="T114" fmla="+- 0 1073 430"/>
                <a:gd name="T115" fmla="*/ T114 w 717"/>
                <a:gd name="T116" fmla="*/ 532 h 968"/>
                <a:gd name="T117" fmla="+- 0 1115 430"/>
                <a:gd name="T118" fmla="*/ T117 w 717"/>
                <a:gd name="T119" fmla="*/ 454 h 968"/>
                <a:gd name="T120" fmla="+- 0 1139 430"/>
                <a:gd name="T121" fmla="*/ T120 w 717"/>
                <a:gd name="T122" fmla="*/ 379 h 968"/>
                <a:gd name="T123" fmla="+- 0 1147 430"/>
                <a:gd name="T124" fmla="*/ T123 w 717"/>
                <a:gd name="T125" fmla="*/ 308 h 968"/>
                <a:gd name="T126" fmla="+- 0 1145 430"/>
                <a:gd name="T127" fmla="*/ T126 w 717"/>
                <a:gd name="T128" fmla="*/ 274 h 968"/>
                <a:gd name="T129" fmla="+- 0 1132 430"/>
                <a:gd name="T130" fmla="*/ T129 w 717"/>
                <a:gd name="T131" fmla="*/ 211 h 968"/>
                <a:gd name="T132" fmla="+- 0 1107 430"/>
                <a:gd name="T133" fmla="*/ T132 w 717"/>
                <a:gd name="T134" fmla="*/ 153 h 968"/>
                <a:gd name="T135" fmla="+- 0 1072 430"/>
                <a:gd name="T136" fmla="*/ T135 w 717"/>
                <a:gd name="T137" fmla="*/ 104 h 968"/>
                <a:gd name="T138" fmla="+- 0 1028 430"/>
                <a:gd name="T139" fmla="*/ T138 w 717"/>
                <a:gd name="T140" fmla="*/ 63 h 968"/>
                <a:gd name="T141" fmla="+- 0 950 430"/>
                <a:gd name="T142" fmla="*/ T141 w 717"/>
                <a:gd name="T143" fmla="*/ 19 h 968"/>
                <a:gd name="T144" fmla="+- 0 893 430"/>
                <a:gd name="T145" fmla="*/ T144 w 717"/>
                <a:gd name="T146" fmla="*/ 4 h 968"/>
                <a:gd name="T147" fmla="+- 0 863 430"/>
                <a:gd name="T148" fmla="*/ T147 w 717"/>
                <a:gd name="T149" fmla="*/ 0 h 968"/>
              </a:gdLst>
              <a:ahLst/>
              <a:cxnLst>
                <a:cxn ang="0">
                  <a:pos x="T1" y="T2"/>
                </a:cxn>
                <a:cxn ang="0">
                  <a:pos x="T4" y="T5"/>
                </a:cxn>
                <a:cxn ang="0">
                  <a:pos x="T7" y="T8"/>
                </a:cxn>
                <a:cxn ang="0">
                  <a:pos x="T10" y="T11"/>
                </a:cxn>
                <a:cxn ang="0">
                  <a:pos x="T13" y="T14"/>
                </a:cxn>
                <a:cxn ang="0">
                  <a:pos x="T16" y="T17"/>
                </a:cxn>
                <a:cxn ang="0">
                  <a:pos x="T19" y="T20"/>
                </a:cxn>
                <a:cxn ang="0">
                  <a:pos x="T22" y="T23"/>
                </a:cxn>
                <a:cxn ang="0">
                  <a:pos x="T25" y="T26"/>
                </a:cxn>
                <a:cxn ang="0">
                  <a:pos x="T28" y="T29"/>
                </a:cxn>
                <a:cxn ang="0">
                  <a:pos x="T31" y="T32"/>
                </a:cxn>
                <a:cxn ang="0">
                  <a:pos x="T34" y="T35"/>
                </a:cxn>
                <a:cxn ang="0">
                  <a:pos x="T37" y="T38"/>
                </a:cxn>
                <a:cxn ang="0">
                  <a:pos x="T40" y="T41"/>
                </a:cxn>
                <a:cxn ang="0">
                  <a:pos x="T43" y="T44"/>
                </a:cxn>
                <a:cxn ang="0">
                  <a:pos x="T46" y="T47"/>
                </a:cxn>
                <a:cxn ang="0">
                  <a:pos x="T49" y="T50"/>
                </a:cxn>
                <a:cxn ang="0">
                  <a:pos x="T52" y="T53"/>
                </a:cxn>
                <a:cxn ang="0">
                  <a:pos x="T55" y="T56"/>
                </a:cxn>
                <a:cxn ang="0">
                  <a:pos x="T58" y="T59"/>
                </a:cxn>
                <a:cxn ang="0">
                  <a:pos x="T61" y="T62"/>
                </a:cxn>
                <a:cxn ang="0">
                  <a:pos x="T64" y="T65"/>
                </a:cxn>
                <a:cxn ang="0">
                  <a:pos x="T67" y="T68"/>
                </a:cxn>
                <a:cxn ang="0">
                  <a:pos x="T70" y="T71"/>
                </a:cxn>
                <a:cxn ang="0">
                  <a:pos x="T73" y="T74"/>
                </a:cxn>
                <a:cxn ang="0">
                  <a:pos x="T76" y="T77"/>
                </a:cxn>
                <a:cxn ang="0">
                  <a:pos x="T79" y="T80"/>
                </a:cxn>
                <a:cxn ang="0">
                  <a:pos x="T82" y="T83"/>
                </a:cxn>
                <a:cxn ang="0">
                  <a:pos x="T85" y="T86"/>
                </a:cxn>
                <a:cxn ang="0">
                  <a:pos x="T88" y="T89"/>
                </a:cxn>
                <a:cxn ang="0">
                  <a:pos x="T91" y="T92"/>
                </a:cxn>
                <a:cxn ang="0">
                  <a:pos x="T94" y="T95"/>
                </a:cxn>
                <a:cxn ang="0">
                  <a:pos x="T97" y="T98"/>
                </a:cxn>
                <a:cxn ang="0">
                  <a:pos x="T100" y="T101"/>
                </a:cxn>
                <a:cxn ang="0">
                  <a:pos x="T103" y="T104"/>
                </a:cxn>
                <a:cxn ang="0">
                  <a:pos x="T106" y="T107"/>
                </a:cxn>
                <a:cxn ang="0">
                  <a:pos x="T109" y="T110"/>
                </a:cxn>
                <a:cxn ang="0">
                  <a:pos x="T112" y="T113"/>
                </a:cxn>
                <a:cxn ang="0">
                  <a:pos x="T115" y="T116"/>
                </a:cxn>
                <a:cxn ang="0">
                  <a:pos x="T118" y="T119"/>
                </a:cxn>
                <a:cxn ang="0">
                  <a:pos x="T121" y="T122"/>
                </a:cxn>
                <a:cxn ang="0">
                  <a:pos x="T124" y="T125"/>
                </a:cxn>
                <a:cxn ang="0">
                  <a:pos x="T127" y="T128"/>
                </a:cxn>
                <a:cxn ang="0">
                  <a:pos x="T130" y="T131"/>
                </a:cxn>
                <a:cxn ang="0">
                  <a:pos x="T133" y="T134"/>
                </a:cxn>
                <a:cxn ang="0">
                  <a:pos x="T136" y="T137"/>
                </a:cxn>
                <a:cxn ang="0">
                  <a:pos x="T139" y="T140"/>
                </a:cxn>
                <a:cxn ang="0">
                  <a:pos x="T142" y="T143"/>
                </a:cxn>
                <a:cxn ang="0">
                  <a:pos x="T145" y="T146"/>
                </a:cxn>
                <a:cxn ang="0">
                  <a:pos x="T148" y="T149"/>
                </a:cxn>
              </a:cxnLst>
              <a:rect l="0" t="0" r="r" b="b"/>
              <a:pathLst>
                <a:path w="717" h="968">
                  <a:moveTo>
                    <a:pt x="433" y="0"/>
                  </a:moveTo>
                  <a:lnTo>
                    <a:pt x="372" y="4"/>
                  </a:lnTo>
                  <a:lnTo>
                    <a:pt x="311" y="20"/>
                  </a:lnTo>
                  <a:lnTo>
                    <a:pt x="252" y="52"/>
                  </a:lnTo>
                  <a:lnTo>
                    <a:pt x="196" y="99"/>
                  </a:lnTo>
                  <a:lnTo>
                    <a:pt x="146" y="163"/>
                  </a:lnTo>
                  <a:lnTo>
                    <a:pt x="102" y="244"/>
                  </a:lnTo>
                  <a:lnTo>
                    <a:pt x="99" y="252"/>
                  </a:lnTo>
                  <a:lnTo>
                    <a:pt x="109" y="259"/>
                  </a:lnTo>
                  <a:lnTo>
                    <a:pt x="115" y="253"/>
                  </a:lnTo>
                  <a:lnTo>
                    <a:pt x="149" y="220"/>
                  </a:lnTo>
                  <a:lnTo>
                    <a:pt x="184" y="195"/>
                  </a:lnTo>
                  <a:lnTo>
                    <a:pt x="218" y="177"/>
                  </a:lnTo>
                  <a:lnTo>
                    <a:pt x="252" y="167"/>
                  </a:lnTo>
                  <a:lnTo>
                    <a:pt x="284" y="164"/>
                  </a:lnTo>
                  <a:lnTo>
                    <a:pt x="315" y="167"/>
                  </a:lnTo>
                  <a:lnTo>
                    <a:pt x="392" y="213"/>
                  </a:lnTo>
                  <a:lnTo>
                    <a:pt x="426" y="270"/>
                  </a:lnTo>
                  <a:lnTo>
                    <a:pt x="441" y="345"/>
                  </a:lnTo>
                  <a:lnTo>
                    <a:pt x="441" y="388"/>
                  </a:lnTo>
                  <a:lnTo>
                    <a:pt x="420" y="484"/>
                  </a:lnTo>
                  <a:lnTo>
                    <a:pt x="370" y="591"/>
                  </a:lnTo>
                  <a:lnTo>
                    <a:pt x="334" y="648"/>
                  </a:lnTo>
                  <a:lnTo>
                    <a:pt x="288" y="706"/>
                  </a:lnTo>
                  <a:lnTo>
                    <a:pt x="233" y="766"/>
                  </a:lnTo>
                  <a:lnTo>
                    <a:pt x="169" y="827"/>
                  </a:lnTo>
                  <a:lnTo>
                    <a:pt x="94" y="888"/>
                  </a:lnTo>
                  <a:lnTo>
                    <a:pt x="8" y="950"/>
                  </a:lnTo>
                  <a:lnTo>
                    <a:pt x="0" y="956"/>
                  </a:lnTo>
                  <a:lnTo>
                    <a:pt x="7" y="968"/>
                  </a:lnTo>
                  <a:lnTo>
                    <a:pt x="105" y="927"/>
                  </a:lnTo>
                  <a:lnTo>
                    <a:pt x="187" y="890"/>
                  </a:lnTo>
                  <a:lnTo>
                    <a:pt x="262" y="851"/>
                  </a:lnTo>
                  <a:lnTo>
                    <a:pt x="330" y="812"/>
                  </a:lnTo>
                  <a:lnTo>
                    <a:pt x="392" y="772"/>
                  </a:lnTo>
                  <a:lnTo>
                    <a:pt x="448" y="732"/>
                  </a:lnTo>
                  <a:lnTo>
                    <a:pt x="498" y="692"/>
                  </a:lnTo>
                  <a:lnTo>
                    <a:pt x="581" y="612"/>
                  </a:lnTo>
                  <a:lnTo>
                    <a:pt x="643" y="532"/>
                  </a:lnTo>
                  <a:lnTo>
                    <a:pt x="685" y="454"/>
                  </a:lnTo>
                  <a:lnTo>
                    <a:pt x="709" y="379"/>
                  </a:lnTo>
                  <a:lnTo>
                    <a:pt x="717" y="308"/>
                  </a:lnTo>
                  <a:lnTo>
                    <a:pt x="715" y="274"/>
                  </a:lnTo>
                  <a:lnTo>
                    <a:pt x="702" y="211"/>
                  </a:lnTo>
                  <a:lnTo>
                    <a:pt x="677" y="153"/>
                  </a:lnTo>
                  <a:lnTo>
                    <a:pt x="642" y="104"/>
                  </a:lnTo>
                  <a:lnTo>
                    <a:pt x="598" y="63"/>
                  </a:lnTo>
                  <a:lnTo>
                    <a:pt x="520" y="19"/>
                  </a:lnTo>
                  <a:lnTo>
                    <a:pt x="463" y="4"/>
                  </a:lnTo>
                  <a:lnTo>
                    <a:pt x="433" y="0"/>
                  </a:lnTo>
                  <a:close/>
                </a:path>
              </a:pathLst>
            </a:custGeom>
            <a:solidFill>
              <a:srgbClr val="2CB34A"/>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19" name="docshape21">
              <a:extLst>
                <a:ext uri="{FF2B5EF4-FFF2-40B4-BE49-F238E27FC236}">
                  <a16:creationId xmlns:a16="http://schemas.microsoft.com/office/drawing/2014/main" id="{F942B5DC-0A59-B2DC-80C7-6009D3308D4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7"/>
              <a:ext cx="492" cy="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docshape22">
              <a:extLst>
                <a:ext uri="{FF2B5EF4-FFF2-40B4-BE49-F238E27FC236}">
                  <a16:creationId xmlns:a16="http://schemas.microsoft.com/office/drawing/2014/main" id="{2B128A55-2D58-EFE7-BA82-D213CA9816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3"/>
              <a:ext cx="980" cy="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 name="docshape23">
              <a:extLst>
                <a:ext uri="{FF2B5EF4-FFF2-40B4-BE49-F238E27FC236}">
                  <a16:creationId xmlns:a16="http://schemas.microsoft.com/office/drawing/2014/main" id="{7E308F21-1E09-7F87-D8EB-2ED94DE0D53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2" y="33"/>
              <a:ext cx="615" cy="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docshape24">
              <a:extLst>
                <a:ext uri="{FF2B5EF4-FFF2-40B4-BE49-F238E27FC236}">
                  <a16:creationId xmlns:a16="http://schemas.microsoft.com/office/drawing/2014/main" id="{BEECBC52-0BAA-3013-0015-3C561C614EA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0" y="0"/>
              <a:ext cx="581"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5" name="Group 4">
            <a:extLst>
              <a:ext uri="{FF2B5EF4-FFF2-40B4-BE49-F238E27FC236}">
                <a16:creationId xmlns:a16="http://schemas.microsoft.com/office/drawing/2014/main" id="{44F332BA-7C8A-A898-478E-4DA40A0E0717}"/>
              </a:ext>
            </a:extLst>
          </xdr:cNvPr>
          <xdr:cNvGrpSpPr/>
        </xdr:nvGrpSpPr>
        <xdr:grpSpPr>
          <a:xfrm>
            <a:off x="3962400" y="0"/>
            <a:ext cx="2696925" cy="678180"/>
            <a:chOff x="0" y="0"/>
            <a:chExt cx="2984500" cy="678180"/>
          </a:xfrm>
        </xdr:grpSpPr>
        <xdr:grpSp>
          <xdr:nvGrpSpPr>
            <xdr:cNvPr id="6" name="docshapegroup1">
              <a:extLst>
                <a:ext uri="{FF2B5EF4-FFF2-40B4-BE49-F238E27FC236}">
                  <a16:creationId xmlns:a16="http://schemas.microsoft.com/office/drawing/2014/main" id="{C5F24E15-8C54-926E-FB55-03CD34E998BA}"/>
                </a:ext>
              </a:extLst>
            </xdr:cNvPr>
            <xdr:cNvGrpSpPr>
              <a:grpSpLocks/>
            </xdr:cNvGrpSpPr>
          </xdr:nvGrpSpPr>
          <xdr:grpSpPr bwMode="auto">
            <a:xfrm>
              <a:off x="0" y="0"/>
              <a:ext cx="2984500" cy="678180"/>
              <a:chOff x="0" y="0"/>
              <a:chExt cx="4292" cy="1068"/>
            </a:xfrm>
          </xdr:grpSpPr>
          <xdr:pic>
            <xdr:nvPicPr>
              <xdr:cNvPr id="9" name="docshape2">
                <a:extLst>
                  <a:ext uri="{FF2B5EF4-FFF2-40B4-BE49-F238E27FC236}">
                    <a16:creationId xmlns:a16="http://schemas.microsoft.com/office/drawing/2014/main" id="{EC7DB3BD-1B22-8CD8-B14F-97520DAD955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600"/>
                <a:ext cx="4292" cy="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docshape3">
                <a:extLst>
                  <a:ext uri="{FF2B5EF4-FFF2-40B4-BE49-F238E27FC236}">
                    <a16:creationId xmlns:a16="http://schemas.microsoft.com/office/drawing/2014/main" id="{AB21333A-7D8D-024E-26B3-C3B2A0305FD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87" y="62"/>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 name="docshape4">
                <a:extLst>
                  <a:ext uri="{FF2B5EF4-FFF2-40B4-BE49-F238E27FC236}">
                    <a16:creationId xmlns:a16="http://schemas.microsoft.com/office/drawing/2014/main" id="{23C30351-4778-454E-4419-F59853DC7744}"/>
                  </a:ext>
                </a:extLst>
              </xdr:cNvPr>
              <xdr:cNvSpPr>
                <a:spLocks noChangeArrowheads="1"/>
              </xdr:cNvSpPr>
            </xdr:nvSpPr>
            <xdr:spPr bwMode="auto">
              <a:xfrm>
                <a:off x="2920"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2" name="docshape5">
                <a:extLst>
                  <a:ext uri="{FF2B5EF4-FFF2-40B4-BE49-F238E27FC236}">
                    <a16:creationId xmlns:a16="http://schemas.microsoft.com/office/drawing/2014/main" id="{C8A016A8-29A3-EA0F-7B3A-ED05765D403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42" y="35"/>
                <a:ext cx="574" cy="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docshape6">
                <a:extLst>
                  <a:ext uri="{FF2B5EF4-FFF2-40B4-BE49-F238E27FC236}">
                    <a16:creationId xmlns:a16="http://schemas.microsoft.com/office/drawing/2014/main" id="{AED76EC4-CC40-B818-49C0-2F652B813ED0}"/>
                  </a:ext>
                </a:extLst>
              </xdr:cNvPr>
              <xdr:cNvSpPr>
                <a:spLocks noChangeArrowheads="1"/>
              </xdr:cNvSpPr>
            </xdr:nvSpPr>
            <xdr:spPr bwMode="auto">
              <a:xfrm>
                <a:off x="3657"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4" name="docshape7">
                <a:extLst>
                  <a:ext uri="{FF2B5EF4-FFF2-40B4-BE49-F238E27FC236}">
                    <a16:creationId xmlns:a16="http://schemas.microsoft.com/office/drawing/2014/main" id="{01D95670-A719-6BDF-40F0-912AA6BD9FC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6" y="0"/>
                <a:ext cx="2067" cy="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docshape8">
                <a:extLst>
                  <a:ext uri="{FF2B5EF4-FFF2-40B4-BE49-F238E27FC236}">
                    <a16:creationId xmlns:a16="http://schemas.microsoft.com/office/drawing/2014/main" id="{DE9E1C95-1BD2-C7A5-1676-E4CF2F42C89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1" y="350"/>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 name="docshape9">
                <a:extLst>
                  <a:ext uri="{FF2B5EF4-FFF2-40B4-BE49-F238E27FC236}">
                    <a16:creationId xmlns:a16="http://schemas.microsoft.com/office/drawing/2014/main" id="{B7352A47-BC27-F4AD-2795-15DDB8E94C2E}"/>
                  </a:ext>
                </a:extLst>
              </xdr:cNvPr>
              <xdr:cNvSpPr>
                <a:spLocks noChangeArrowheads="1"/>
              </xdr:cNvSpPr>
            </xdr:nvSpPr>
            <xdr:spPr bwMode="auto">
              <a:xfrm>
                <a:off x="3453" y="349"/>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grpSp>
        <xdr:pic>
          <xdr:nvPicPr>
            <xdr:cNvPr id="7" name="image8.png">
              <a:extLst>
                <a:ext uri="{FF2B5EF4-FFF2-40B4-BE49-F238E27FC236}">
                  <a16:creationId xmlns:a16="http://schemas.microsoft.com/office/drawing/2014/main" id="{5957DEA2-781F-2863-AAF1-ECEFB3E8039D}"/>
                </a:ext>
              </a:extLst>
            </xdr:cNvPr>
            <xdr:cNvPicPr>
              <a:picLocks noChangeAspect="1"/>
            </xdr:cNvPicPr>
          </xdr:nvPicPr>
          <xdr:blipFill>
            <a:blip xmlns:r="http://schemas.openxmlformats.org/officeDocument/2006/relationships" r:embed="rId13" cstate="print"/>
            <a:stretch>
              <a:fillRect/>
            </a:stretch>
          </xdr:blipFill>
          <xdr:spPr>
            <a:xfrm>
              <a:off x="51841" y="21405"/>
              <a:ext cx="400685" cy="156845"/>
            </a:xfrm>
            <a:prstGeom prst="rect">
              <a:avLst/>
            </a:prstGeom>
          </xdr:spPr>
        </xdr:pic>
        <xdr:pic>
          <xdr:nvPicPr>
            <xdr:cNvPr id="8" name="image9.png">
              <a:extLst>
                <a:ext uri="{FF2B5EF4-FFF2-40B4-BE49-F238E27FC236}">
                  <a16:creationId xmlns:a16="http://schemas.microsoft.com/office/drawing/2014/main" id="{86D5EAAB-7972-403A-BC66-F35CD52C18F4}"/>
                </a:ext>
              </a:extLst>
            </xdr:cNvPr>
            <xdr:cNvPicPr>
              <a:picLocks noChangeAspect="1"/>
            </xdr:cNvPicPr>
          </xdr:nvPicPr>
          <xdr:blipFill>
            <a:blip xmlns:r="http://schemas.openxmlformats.org/officeDocument/2006/relationships" r:embed="rId14" cstate="print"/>
            <a:stretch>
              <a:fillRect/>
            </a:stretch>
          </xdr:blipFill>
          <xdr:spPr>
            <a:xfrm>
              <a:off x="2609274" y="22040"/>
              <a:ext cx="343535" cy="161925"/>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144798</xdr:colOff>
      <xdr:row>0</xdr:row>
      <xdr:rowOff>87299</xdr:rowOff>
    </xdr:from>
    <xdr:to>
      <xdr:col>5</xdr:col>
      <xdr:colOff>1083310</xdr:colOff>
      <xdr:row>0</xdr:row>
      <xdr:rowOff>905238</xdr:rowOff>
    </xdr:to>
    <xdr:grpSp>
      <xdr:nvGrpSpPr>
        <xdr:cNvPr id="2" name="Group 1">
          <a:extLst>
            <a:ext uri="{FF2B5EF4-FFF2-40B4-BE49-F238E27FC236}">
              <a16:creationId xmlns:a16="http://schemas.microsoft.com/office/drawing/2014/main" id="{B6F1B5D9-5F54-45B4-BB19-25DCD75A3777}"/>
            </a:ext>
          </a:extLst>
        </xdr:cNvPr>
        <xdr:cNvGrpSpPr/>
      </xdr:nvGrpSpPr>
      <xdr:grpSpPr>
        <a:xfrm>
          <a:off x="144798" y="87299"/>
          <a:ext cx="11246294" cy="817939"/>
          <a:chOff x="0" y="0"/>
          <a:chExt cx="6659325" cy="678180"/>
        </a:xfrm>
      </xdr:grpSpPr>
      <xdr:grpSp>
        <xdr:nvGrpSpPr>
          <xdr:cNvPr id="3" name="Group 2">
            <a:extLst>
              <a:ext uri="{FF2B5EF4-FFF2-40B4-BE49-F238E27FC236}">
                <a16:creationId xmlns:a16="http://schemas.microsoft.com/office/drawing/2014/main" id="{8AF5B1C3-715E-258C-E8A8-70DFD8C19DAB}"/>
              </a:ext>
            </a:extLst>
          </xdr:cNvPr>
          <xdr:cNvGrpSpPr/>
        </xdr:nvGrpSpPr>
        <xdr:grpSpPr>
          <a:xfrm>
            <a:off x="0" y="6350"/>
            <a:ext cx="2619846" cy="655523"/>
            <a:chOff x="0" y="0"/>
            <a:chExt cx="2620314" cy="655523"/>
          </a:xfrm>
        </xdr:grpSpPr>
        <xdr:pic>
          <xdr:nvPicPr>
            <xdr:cNvPr id="23" name="Picture 22">
              <a:extLst>
                <a:ext uri="{FF2B5EF4-FFF2-40B4-BE49-F238E27FC236}">
                  <a16:creationId xmlns:a16="http://schemas.microsoft.com/office/drawing/2014/main" id="{6C646A37-2E9C-784F-8FB3-DCA6B19FD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6" y="0"/>
              <a:ext cx="2617888" cy="3048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4" name="docshapegroup10">
              <a:extLst>
                <a:ext uri="{FF2B5EF4-FFF2-40B4-BE49-F238E27FC236}">
                  <a16:creationId xmlns:a16="http://schemas.microsoft.com/office/drawing/2014/main" id="{B120A1C9-928F-1D0C-25A1-5A7E292A6AD4}"/>
                </a:ext>
              </a:extLst>
            </xdr:cNvPr>
            <xdr:cNvGrpSpPr>
              <a:grpSpLocks/>
            </xdr:cNvGrpSpPr>
          </xdr:nvGrpSpPr>
          <xdr:grpSpPr bwMode="auto">
            <a:xfrm>
              <a:off x="0" y="424383"/>
              <a:ext cx="2353032" cy="231140"/>
              <a:chOff x="0" y="424383"/>
              <a:chExt cx="4102" cy="364"/>
            </a:xfrm>
          </xdr:grpSpPr>
          <xdr:pic>
            <xdr:nvPicPr>
              <xdr:cNvPr id="25" name="docshape11">
                <a:extLst>
                  <a:ext uri="{FF2B5EF4-FFF2-40B4-BE49-F238E27FC236}">
                    <a16:creationId xmlns:a16="http://schemas.microsoft.com/office/drawing/2014/main" id="{F1C5188C-9BE1-C363-6299-111C3E1F5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384"/>
                <a:ext cx="367"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6" name="docshape12">
                <a:extLst>
                  <a:ext uri="{FF2B5EF4-FFF2-40B4-BE49-F238E27FC236}">
                    <a16:creationId xmlns:a16="http://schemas.microsoft.com/office/drawing/2014/main" id="{77A47F59-7165-EBF9-7AC8-B62AFB128FE4}"/>
                  </a:ext>
                </a:extLst>
              </xdr:cNvPr>
              <xdr:cNvSpPr>
                <a:spLocks/>
              </xdr:cNvSpPr>
            </xdr:nvSpPr>
            <xdr:spPr bwMode="auto">
              <a:xfrm>
                <a:off x="397" y="424387"/>
                <a:ext cx="17" cy="133"/>
              </a:xfrm>
              <a:custGeom>
                <a:avLst/>
                <a:gdLst>
                  <a:gd name="T0" fmla="+- 0 1030 1016"/>
                  <a:gd name="T1" fmla="*/ T0 w 17"/>
                  <a:gd name="T2" fmla="+- 0 1407 1370"/>
                  <a:gd name="T3" fmla="*/ 1407 h 133"/>
                  <a:gd name="T4" fmla="+- 0 1018 1016"/>
                  <a:gd name="T5" fmla="*/ T4 w 17"/>
                  <a:gd name="T6" fmla="+- 0 1407 1370"/>
                  <a:gd name="T7" fmla="*/ 1407 h 133"/>
                  <a:gd name="T8" fmla="+- 0 1018 1016"/>
                  <a:gd name="T9" fmla="*/ T8 w 17"/>
                  <a:gd name="T10" fmla="+- 0 1502 1370"/>
                  <a:gd name="T11" fmla="*/ 1502 h 133"/>
                  <a:gd name="T12" fmla="+- 0 1030 1016"/>
                  <a:gd name="T13" fmla="*/ T12 w 17"/>
                  <a:gd name="T14" fmla="+- 0 1502 1370"/>
                  <a:gd name="T15" fmla="*/ 1502 h 133"/>
                  <a:gd name="T16" fmla="+- 0 1030 1016"/>
                  <a:gd name="T17" fmla="*/ T16 w 17"/>
                  <a:gd name="T18" fmla="+- 0 1407 1370"/>
                  <a:gd name="T19" fmla="*/ 1407 h 133"/>
                  <a:gd name="T20" fmla="+- 0 1027 1016"/>
                  <a:gd name="T21" fmla="*/ T20 w 17"/>
                  <a:gd name="T22" fmla="+- 0 1370 1370"/>
                  <a:gd name="T23" fmla="*/ 1370 h 133"/>
                  <a:gd name="T24" fmla="+- 0 1021 1016"/>
                  <a:gd name="T25" fmla="*/ T24 w 17"/>
                  <a:gd name="T26" fmla="+- 0 1370 1370"/>
                  <a:gd name="T27" fmla="*/ 1370 h 133"/>
                  <a:gd name="T28" fmla="+- 0 1019 1016"/>
                  <a:gd name="T29" fmla="*/ T28 w 17"/>
                  <a:gd name="T30" fmla="+- 0 1371 1370"/>
                  <a:gd name="T31" fmla="*/ 1371 h 133"/>
                  <a:gd name="T32" fmla="+- 0 1016 1016"/>
                  <a:gd name="T33" fmla="*/ T32 w 17"/>
                  <a:gd name="T34" fmla="+- 0 1374 1370"/>
                  <a:gd name="T35" fmla="*/ 1374 h 133"/>
                  <a:gd name="T36" fmla="+- 0 1016 1016"/>
                  <a:gd name="T37" fmla="*/ T36 w 17"/>
                  <a:gd name="T38" fmla="+- 0 1376 1370"/>
                  <a:gd name="T39" fmla="*/ 1376 h 133"/>
                  <a:gd name="T40" fmla="+- 0 1016 1016"/>
                  <a:gd name="T41" fmla="*/ T40 w 17"/>
                  <a:gd name="T42" fmla="+- 0 1381 1370"/>
                  <a:gd name="T43" fmla="*/ 1381 h 133"/>
                  <a:gd name="T44" fmla="+- 0 1016 1016"/>
                  <a:gd name="T45" fmla="*/ T44 w 17"/>
                  <a:gd name="T46" fmla="+- 0 1383 1370"/>
                  <a:gd name="T47" fmla="*/ 1383 h 133"/>
                  <a:gd name="T48" fmla="+- 0 1019 1016"/>
                  <a:gd name="T49" fmla="*/ T48 w 17"/>
                  <a:gd name="T50" fmla="+- 0 1387 1370"/>
                  <a:gd name="T51" fmla="*/ 1387 h 133"/>
                  <a:gd name="T52" fmla="+- 0 1021 1016"/>
                  <a:gd name="T53" fmla="*/ T52 w 17"/>
                  <a:gd name="T54" fmla="+- 0 1387 1370"/>
                  <a:gd name="T55" fmla="*/ 1387 h 133"/>
                  <a:gd name="T56" fmla="+- 0 1027 1016"/>
                  <a:gd name="T57" fmla="*/ T56 w 17"/>
                  <a:gd name="T58" fmla="+- 0 1387 1370"/>
                  <a:gd name="T59" fmla="*/ 1387 h 133"/>
                  <a:gd name="T60" fmla="+- 0 1029 1016"/>
                  <a:gd name="T61" fmla="*/ T60 w 17"/>
                  <a:gd name="T62" fmla="+- 0 1387 1370"/>
                  <a:gd name="T63" fmla="*/ 1387 h 133"/>
                  <a:gd name="T64" fmla="+- 0 1032 1016"/>
                  <a:gd name="T65" fmla="*/ T64 w 17"/>
                  <a:gd name="T66" fmla="+- 0 1383 1370"/>
                  <a:gd name="T67" fmla="*/ 1383 h 133"/>
                  <a:gd name="T68" fmla="+- 0 1032 1016"/>
                  <a:gd name="T69" fmla="*/ T68 w 17"/>
                  <a:gd name="T70" fmla="+- 0 1381 1370"/>
                  <a:gd name="T71" fmla="*/ 1381 h 133"/>
                  <a:gd name="T72" fmla="+- 0 1032 1016"/>
                  <a:gd name="T73" fmla="*/ T72 w 17"/>
                  <a:gd name="T74" fmla="+- 0 1376 1370"/>
                  <a:gd name="T75" fmla="*/ 1376 h 133"/>
                  <a:gd name="T76" fmla="+- 0 1032 1016"/>
                  <a:gd name="T77" fmla="*/ T76 w 17"/>
                  <a:gd name="T78" fmla="+- 0 1374 1370"/>
                  <a:gd name="T79" fmla="*/ 1374 h 133"/>
                  <a:gd name="T80" fmla="+- 0 1029 1016"/>
                  <a:gd name="T81" fmla="*/ T80 w 17"/>
                  <a:gd name="T82" fmla="+- 0 1371 1370"/>
                  <a:gd name="T83" fmla="*/ 1371 h 133"/>
                  <a:gd name="T84" fmla="+- 0 1027 1016"/>
                  <a:gd name="T85" fmla="*/ T84 w 17"/>
                  <a:gd name="T86" fmla="+- 0 1370 1370"/>
                  <a:gd name="T87" fmla="*/ 1370 h 133"/>
                </a:gdLst>
                <a:ahLst/>
                <a:cxnLst>
                  <a:cxn ang="0">
                    <a:pos x="T1" y="T3"/>
                  </a:cxn>
                  <a:cxn ang="0">
                    <a:pos x="T5" y="T7"/>
                  </a:cxn>
                  <a:cxn ang="0">
                    <a:pos x="T9" y="T11"/>
                  </a:cxn>
                  <a:cxn ang="0">
                    <a:pos x="T13" y="T15"/>
                  </a:cxn>
                  <a:cxn ang="0">
                    <a:pos x="T17" y="T19"/>
                  </a:cxn>
                  <a:cxn ang="0">
                    <a:pos x="T21" y="T23"/>
                  </a:cxn>
                  <a:cxn ang="0">
                    <a:pos x="T25" y="T27"/>
                  </a:cxn>
                  <a:cxn ang="0">
                    <a:pos x="T29" y="T31"/>
                  </a:cxn>
                  <a:cxn ang="0">
                    <a:pos x="T33" y="T35"/>
                  </a:cxn>
                  <a:cxn ang="0">
                    <a:pos x="T37" y="T39"/>
                  </a:cxn>
                  <a:cxn ang="0">
                    <a:pos x="T41" y="T43"/>
                  </a:cxn>
                  <a:cxn ang="0">
                    <a:pos x="T45" y="T47"/>
                  </a:cxn>
                  <a:cxn ang="0">
                    <a:pos x="T49" y="T51"/>
                  </a:cxn>
                  <a:cxn ang="0">
                    <a:pos x="T53" y="T55"/>
                  </a:cxn>
                  <a:cxn ang="0">
                    <a:pos x="T57" y="T59"/>
                  </a:cxn>
                  <a:cxn ang="0">
                    <a:pos x="T61" y="T63"/>
                  </a:cxn>
                  <a:cxn ang="0">
                    <a:pos x="T65" y="T67"/>
                  </a:cxn>
                  <a:cxn ang="0">
                    <a:pos x="T69" y="T71"/>
                  </a:cxn>
                  <a:cxn ang="0">
                    <a:pos x="T73" y="T75"/>
                  </a:cxn>
                  <a:cxn ang="0">
                    <a:pos x="T77" y="T79"/>
                  </a:cxn>
                  <a:cxn ang="0">
                    <a:pos x="T81" y="T83"/>
                  </a:cxn>
                  <a:cxn ang="0">
                    <a:pos x="T85" y="T87"/>
                  </a:cxn>
                </a:cxnLst>
                <a:rect l="0" t="0" r="r" b="b"/>
                <a:pathLst>
                  <a:path w="17" h="133">
                    <a:moveTo>
                      <a:pt x="14" y="37"/>
                    </a:moveTo>
                    <a:lnTo>
                      <a:pt x="2" y="37"/>
                    </a:lnTo>
                    <a:lnTo>
                      <a:pt x="2" y="132"/>
                    </a:lnTo>
                    <a:lnTo>
                      <a:pt x="14" y="132"/>
                    </a:lnTo>
                    <a:lnTo>
                      <a:pt x="14" y="37"/>
                    </a:lnTo>
                    <a:close/>
                    <a:moveTo>
                      <a:pt x="11" y="0"/>
                    </a:moveTo>
                    <a:lnTo>
                      <a:pt x="5" y="0"/>
                    </a:lnTo>
                    <a:lnTo>
                      <a:pt x="3" y="1"/>
                    </a:lnTo>
                    <a:lnTo>
                      <a:pt x="0" y="4"/>
                    </a:lnTo>
                    <a:lnTo>
                      <a:pt x="0" y="6"/>
                    </a:lnTo>
                    <a:lnTo>
                      <a:pt x="0" y="11"/>
                    </a:lnTo>
                    <a:lnTo>
                      <a:pt x="0" y="13"/>
                    </a:lnTo>
                    <a:lnTo>
                      <a:pt x="3" y="17"/>
                    </a:lnTo>
                    <a:lnTo>
                      <a:pt x="5" y="17"/>
                    </a:lnTo>
                    <a:lnTo>
                      <a:pt x="11" y="17"/>
                    </a:lnTo>
                    <a:lnTo>
                      <a:pt x="13" y="17"/>
                    </a:lnTo>
                    <a:lnTo>
                      <a:pt x="16" y="13"/>
                    </a:lnTo>
                    <a:lnTo>
                      <a:pt x="16" y="11"/>
                    </a:lnTo>
                    <a:lnTo>
                      <a:pt x="16" y="6"/>
                    </a:lnTo>
                    <a:lnTo>
                      <a:pt x="16" y="4"/>
                    </a:lnTo>
                    <a:lnTo>
                      <a:pt x="13" y="1"/>
                    </a:lnTo>
                    <a:lnTo>
                      <a:pt x="11" y="0"/>
                    </a:lnTo>
                    <a:close/>
                  </a:path>
                </a:pathLst>
              </a:custGeom>
              <a:solidFill>
                <a:srgbClr val="231F20"/>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27" name="docshape13">
                <a:extLst>
                  <a:ext uri="{FF2B5EF4-FFF2-40B4-BE49-F238E27FC236}">
                    <a16:creationId xmlns:a16="http://schemas.microsoft.com/office/drawing/2014/main" id="{6E49066E-AC4C-8615-48B5-2549678DED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 y="424383"/>
                <a:ext cx="3624" cy="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grpSp>
        <xdr:nvGrpSpPr>
          <xdr:cNvPr id="4" name="docshapegroup18">
            <a:extLst>
              <a:ext uri="{FF2B5EF4-FFF2-40B4-BE49-F238E27FC236}">
                <a16:creationId xmlns:a16="http://schemas.microsoft.com/office/drawing/2014/main" id="{95CCE1B9-1214-FF77-5ECE-8F39D09B9A64}"/>
              </a:ext>
            </a:extLst>
          </xdr:cNvPr>
          <xdr:cNvGrpSpPr/>
        </xdr:nvGrpSpPr>
        <xdr:grpSpPr bwMode="auto">
          <a:xfrm>
            <a:off x="2965450" y="38100"/>
            <a:ext cx="728345" cy="621030"/>
            <a:chOff x="0" y="0"/>
            <a:chExt cx="1147" cy="978"/>
          </a:xfrm>
        </xdr:grpSpPr>
        <xdr:sp macro="" textlink="">
          <xdr:nvSpPr>
            <xdr:cNvPr id="17" name="docshape19">
              <a:extLst>
                <a:ext uri="{FF2B5EF4-FFF2-40B4-BE49-F238E27FC236}">
                  <a16:creationId xmlns:a16="http://schemas.microsoft.com/office/drawing/2014/main" id="{B29183AA-7846-CF3B-F903-9857FACD15DA}"/>
                </a:ext>
              </a:extLst>
            </xdr:cNvPr>
            <xdr:cNvSpPr>
              <a:spLocks/>
            </xdr:cNvSpPr>
          </xdr:nvSpPr>
          <xdr:spPr bwMode="auto">
            <a:xfrm>
              <a:off x="0" y="127"/>
              <a:ext cx="493" cy="548"/>
            </a:xfrm>
            <a:custGeom>
              <a:avLst/>
              <a:gdLst>
                <a:gd name="T0" fmla="*/ 216 w 493"/>
                <a:gd name="T1" fmla="+- 0 127 127"/>
                <a:gd name="T2" fmla="*/ 127 h 548"/>
                <a:gd name="T3" fmla="*/ 143 w 493"/>
                <a:gd name="T4" fmla="+- 0 137 127"/>
                <a:gd name="T5" fmla="*/ 137 h 548"/>
                <a:gd name="T6" fmla="*/ 82 w 493"/>
                <a:gd name="T7" fmla="+- 0 166 127"/>
                <a:gd name="T8" fmla="*/ 166 h 548"/>
                <a:gd name="T9" fmla="*/ 36 w 493"/>
                <a:gd name="T10" fmla="+- 0 212 127"/>
                <a:gd name="T11" fmla="*/ 212 h 548"/>
                <a:gd name="T12" fmla="*/ 7 w 493"/>
                <a:gd name="T13" fmla="+- 0 270 127"/>
                <a:gd name="T14" fmla="*/ 270 h 548"/>
                <a:gd name="T15" fmla="*/ 0 w 493"/>
                <a:gd name="T16" fmla="+- 0 337 127"/>
                <a:gd name="T17" fmla="*/ 337 h 548"/>
                <a:gd name="T18" fmla="*/ 5 w 493"/>
                <a:gd name="T19" fmla="+- 0 372 127"/>
                <a:gd name="T20" fmla="*/ 372 h 548"/>
                <a:gd name="T21" fmla="*/ 33 w 493"/>
                <a:gd name="T22" fmla="+- 0 444 127"/>
                <a:gd name="T23" fmla="*/ 444 h 548"/>
                <a:gd name="T24" fmla="*/ 89 w 493"/>
                <a:gd name="T25" fmla="+- 0 513 127"/>
                <a:gd name="T26" fmla="*/ 513 h 548"/>
                <a:gd name="T27" fmla="*/ 175 w 493"/>
                <a:gd name="T28" fmla="+- 0 578 127"/>
                <a:gd name="T29" fmla="*/ 578 h 548"/>
                <a:gd name="T30" fmla="*/ 230 w 493"/>
                <a:gd name="T31" fmla="+- 0 606 127"/>
                <a:gd name="T32" fmla="*/ 606 h 548"/>
                <a:gd name="T33" fmla="*/ 293 w 493"/>
                <a:gd name="T34" fmla="+- 0 632 127"/>
                <a:gd name="T35" fmla="*/ 632 h 548"/>
                <a:gd name="T36" fmla="*/ 366 w 493"/>
                <a:gd name="T37" fmla="+- 0 655 127"/>
                <a:gd name="T38" fmla="*/ 655 h 548"/>
                <a:gd name="T39" fmla="*/ 447 w 493"/>
                <a:gd name="T40" fmla="+- 0 673 127"/>
                <a:gd name="T41" fmla="*/ 673 h 548"/>
                <a:gd name="T42" fmla="*/ 456 w 493"/>
                <a:gd name="T43" fmla="+- 0 675 127"/>
                <a:gd name="T44" fmla="*/ 675 h 548"/>
                <a:gd name="T45" fmla="*/ 461 w 493"/>
                <a:gd name="T46" fmla="+- 0 662 127"/>
                <a:gd name="T47" fmla="*/ 662 h 548"/>
                <a:gd name="T48" fmla="*/ 452 w 493"/>
                <a:gd name="T49" fmla="+- 0 658 127"/>
                <a:gd name="T50" fmla="*/ 658 h 548"/>
                <a:gd name="T51" fmla="*/ 374 w 493"/>
                <a:gd name="T52" fmla="+- 0 616 127"/>
                <a:gd name="T53" fmla="*/ 616 h 548"/>
                <a:gd name="T54" fmla="*/ 312 w 493"/>
                <a:gd name="T55" fmla="+- 0 567 127"/>
                <a:gd name="T56" fmla="*/ 567 h 548"/>
                <a:gd name="T57" fmla="*/ 266 w 493"/>
                <a:gd name="T58" fmla="+- 0 514 127"/>
                <a:gd name="T59" fmla="*/ 514 h 548"/>
                <a:gd name="T60" fmla="*/ 235 w 493"/>
                <a:gd name="T61" fmla="+- 0 459 127"/>
                <a:gd name="T62" fmla="*/ 459 h 548"/>
                <a:gd name="T63" fmla="*/ 218 w 493"/>
                <a:gd name="T64" fmla="+- 0 356 127"/>
                <a:gd name="T65" fmla="*/ 356 h 548"/>
                <a:gd name="T66" fmla="*/ 231 w 493"/>
                <a:gd name="T67" fmla="+- 0 313 127"/>
                <a:gd name="T68" fmla="*/ 313 h 548"/>
                <a:gd name="T69" fmla="*/ 259 w 493"/>
                <a:gd name="T70" fmla="+- 0 278 127"/>
                <a:gd name="T71" fmla="*/ 278 h 548"/>
                <a:gd name="T72" fmla="*/ 300 w 493"/>
                <a:gd name="T73" fmla="+- 0 256 127"/>
                <a:gd name="T74" fmla="*/ 256 h 548"/>
                <a:gd name="T75" fmla="*/ 355 w 493"/>
                <a:gd name="T76" fmla="+- 0 248 127"/>
                <a:gd name="T77" fmla="*/ 248 h 548"/>
                <a:gd name="T78" fmla="*/ 382 w 493"/>
                <a:gd name="T79" fmla="+- 0 249 127"/>
                <a:gd name="T80" fmla="*/ 249 h 548"/>
                <a:gd name="T81" fmla="*/ 412 w 493"/>
                <a:gd name="T82" fmla="+- 0 254 127"/>
                <a:gd name="T83" fmla="*/ 254 h 548"/>
                <a:gd name="T84" fmla="*/ 444 w 493"/>
                <a:gd name="T85" fmla="+- 0 262 127"/>
                <a:gd name="T86" fmla="*/ 262 h 548"/>
                <a:gd name="T87" fmla="*/ 478 w 493"/>
                <a:gd name="T88" fmla="+- 0 275 127"/>
                <a:gd name="T89" fmla="*/ 275 h 548"/>
                <a:gd name="T90" fmla="*/ 486 w 493"/>
                <a:gd name="T91" fmla="+- 0 278 127"/>
                <a:gd name="T92" fmla="*/ 278 h 548"/>
                <a:gd name="T93" fmla="*/ 492 w 493"/>
                <a:gd name="T94" fmla="+- 0 268 127"/>
                <a:gd name="T95" fmla="*/ 268 h 548"/>
                <a:gd name="T96" fmla="*/ 438 w 493"/>
                <a:gd name="T97" fmla="+- 0 220 127"/>
                <a:gd name="T98" fmla="*/ 220 h 548"/>
                <a:gd name="T99" fmla="*/ 345 w 493"/>
                <a:gd name="T100" fmla="+- 0 161 127"/>
                <a:gd name="T101" fmla="*/ 161 h 548"/>
                <a:gd name="T102" fmla="*/ 257 w 493"/>
                <a:gd name="T103" fmla="+- 0 132 127"/>
                <a:gd name="T104" fmla="*/ 132 h 548"/>
                <a:gd name="T105" fmla="*/ 216 w 493"/>
                <a:gd name="T106" fmla="+- 0 127 127"/>
                <a:gd name="T107" fmla="*/ 127 h 548"/>
              </a:gdLst>
              <a:ahLst/>
              <a:cxnLst>
                <a:cxn ang="0">
                  <a:pos x="T0" y="T2"/>
                </a:cxn>
                <a:cxn ang="0">
                  <a:pos x="T3" y="T5"/>
                </a:cxn>
                <a:cxn ang="0">
                  <a:pos x="T6" y="T8"/>
                </a:cxn>
                <a:cxn ang="0">
                  <a:pos x="T9" y="T11"/>
                </a:cxn>
                <a:cxn ang="0">
                  <a:pos x="T12" y="T14"/>
                </a:cxn>
                <a:cxn ang="0">
                  <a:pos x="T15" y="T17"/>
                </a:cxn>
                <a:cxn ang="0">
                  <a:pos x="T18" y="T20"/>
                </a:cxn>
                <a:cxn ang="0">
                  <a:pos x="T21" y="T23"/>
                </a:cxn>
                <a:cxn ang="0">
                  <a:pos x="T24" y="T26"/>
                </a:cxn>
                <a:cxn ang="0">
                  <a:pos x="T27" y="T29"/>
                </a:cxn>
                <a:cxn ang="0">
                  <a:pos x="T30" y="T32"/>
                </a:cxn>
                <a:cxn ang="0">
                  <a:pos x="T33" y="T35"/>
                </a:cxn>
                <a:cxn ang="0">
                  <a:pos x="T36" y="T38"/>
                </a:cxn>
                <a:cxn ang="0">
                  <a:pos x="T39" y="T41"/>
                </a:cxn>
                <a:cxn ang="0">
                  <a:pos x="T42" y="T44"/>
                </a:cxn>
                <a:cxn ang="0">
                  <a:pos x="T45" y="T47"/>
                </a:cxn>
                <a:cxn ang="0">
                  <a:pos x="T48" y="T50"/>
                </a:cxn>
                <a:cxn ang="0">
                  <a:pos x="T51" y="T53"/>
                </a:cxn>
                <a:cxn ang="0">
                  <a:pos x="T54" y="T56"/>
                </a:cxn>
                <a:cxn ang="0">
                  <a:pos x="T57" y="T59"/>
                </a:cxn>
                <a:cxn ang="0">
                  <a:pos x="T60" y="T62"/>
                </a:cxn>
                <a:cxn ang="0">
                  <a:pos x="T63" y="T65"/>
                </a:cxn>
                <a:cxn ang="0">
                  <a:pos x="T66" y="T68"/>
                </a:cxn>
                <a:cxn ang="0">
                  <a:pos x="T69" y="T71"/>
                </a:cxn>
                <a:cxn ang="0">
                  <a:pos x="T72" y="T74"/>
                </a:cxn>
                <a:cxn ang="0">
                  <a:pos x="T75" y="T77"/>
                </a:cxn>
                <a:cxn ang="0">
                  <a:pos x="T78" y="T80"/>
                </a:cxn>
                <a:cxn ang="0">
                  <a:pos x="T81" y="T83"/>
                </a:cxn>
                <a:cxn ang="0">
                  <a:pos x="T84" y="T86"/>
                </a:cxn>
                <a:cxn ang="0">
                  <a:pos x="T87" y="T89"/>
                </a:cxn>
                <a:cxn ang="0">
                  <a:pos x="T90" y="T92"/>
                </a:cxn>
                <a:cxn ang="0">
                  <a:pos x="T93" y="T95"/>
                </a:cxn>
                <a:cxn ang="0">
                  <a:pos x="T96" y="T98"/>
                </a:cxn>
                <a:cxn ang="0">
                  <a:pos x="T99" y="T101"/>
                </a:cxn>
                <a:cxn ang="0">
                  <a:pos x="T102" y="T104"/>
                </a:cxn>
                <a:cxn ang="0">
                  <a:pos x="T105" y="T107"/>
                </a:cxn>
              </a:cxnLst>
              <a:rect l="0" t="0" r="r" b="b"/>
              <a:pathLst>
                <a:path w="493" h="548">
                  <a:moveTo>
                    <a:pt x="216" y="0"/>
                  </a:moveTo>
                  <a:lnTo>
                    <a:pt x="143" y="10"/>
                  </a:lnTo>
                  <a:lnTo>
                    <a:pt x="82" y="39"/>
                  </a:lnTo>
                  <a:lnTo>
                    <a:pt x="36" y="85"/>
                  </a:lnTo>
                  <a:lnTo>
                    <a:pt x="7" y="143"/>
                  </a:lnTo>
                  <a:lnTo>
                    <a:pt x="0" y="210"/>
                  </a:lnTo>
                  <a:lnTo>
                    <a:pt x="5" y="245"/>
                  </a:lnTo>
                  <a:lnTo>
                    <a:pt x="33" y="317"/>
                  </a:lnTo>
                  <a:lnTo>
                    <a:pt x="89" y="386"/>
                  </a:lnTo>
                  <a:lnTo>
                    <a:pt x="175" y="451"/>
                  </a:lnTo>
                  <a:lnTo>
                    <a:pt x="230" y="479"/>
                  </a:lnTo>
                  <a:lnTo>
                    <a:pt x="293" y="505"/>
                  </a:lnTo>
                  <a:lnTo>
                    <a:pt x="366" y="528"/>
                  </a:lnTo>
                  <a:lnTo>
                    <a:pt x="447" y="546"/>
                  </a:lnTo>
                  <a:lnTo>
                    <a:pt x="456" y="548"/>
                  </a:lnTo>
                  <a:lnTo>
                    <a:pt x="461" y="535"/>
                  </a:lnTo>
                  <a:lnTo>
                    <a:pt x="452" y="531"/>
                  </a:lnTo>
                  <a:lnTo>
                    <a:pt x="374" y="489"/>
                  </a:lnTo>
                  <a:lnTo>
                    <a:pt x="312" y="440"/>
                  </a:lnTo>
                  <a:lnTo>
                    <a:pt x="266" y="387"/>
                  </a:lnTo>
                  <a:lnTo>
                    <a:pt x="235" y="332"/>
                  </a:lnTo>
                  <a:lnTo>
                    <a:pt x="218" y="229"/>
                  </a:lnTo>
                  <a:lnTo>
                    <a:pt x="231" y="186"/>
                  </a:lnTo>
                  <a:lnTo>
                    <a:pt x="259" y="151"/>
                  </a:lnTo>
                  <a:lnTo>
                    <a:pt x="300" y="129"/>
                  </a:lnTo>
                  <a:lnTo>
                    <a:pt x="355" y="121"/>
                  </a:lnTo>
                  <a:lnTo>
                    <a:pt x="382" y="122"/>
                  </a:lnTo>
                  <a:lnTo>
                    <a:pt x="412" y="127"/>
                  </a:lnTo>
                  <a:lnTo>
                    <a:pt x="444" y="135"/>
                  </a:lnTo>
                  <a:lnTo>
                    <a:pt x="478" y="148"/>
                  </a:lnTo>
                  <a:lnTo>
                    <a:pt x="486" y="151"/>
                  </a:lnTo>
                  <a:lnTo>
                    <a:pt x="492" y="141"/>
                  </a:lnTo>
                  <a:lnTo>
                    <a:pt x="438" y="93"/>
                  </a:lnTo>
                  <a:lnTo>
                    <a:pt x="345" y="34"/>
                  </a:lnTo>
                  <a:lnTo>
                    <a:pt x="257" y="5"/>
                  </a:lnTo>
                  <a:lnTo>
                    <a:pt x="216" y="0"/>
                  </a:lnTo>
                  <a:close/>
                </a:path>
              </a:pathLst>
            </a:custGeom>
            <a:solidFill>
              <a:srgbClr val="00AAE7"/>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8" name="docshape20">
              <a:extLst>
                <a:ext uri="{FF2B5EF4-FFF2-40B4-BE49-F238E27FC236}">
                  <a16:creationId xmlns:a16="http://schemas.microsoft.com/office/drawing/2014/main" id="{16A04931-8871-30F7-5DC3-1963D71D4CE5}"/>
                </a:ext>
              </a:extLst>
            </xdr:cNvPr>
            <xdr:cNvSpPr>
              <a:spLocks/>
            </xdr:cNvSpPr>
          </xdr:nvSpPr>
          <xdr:spPr bwMode="auto">
            <a:xfrm>
              <a:off x="430" y="0"/>
              <a:ext cx="717" cy="968"/>
            </a:xfrm>
            <a:custGeom>
              <a:avLst/>
              <a:gdLst>
                <a:gd name="T0" fmla="+- 0 863 430"/>
                <a:gd name="T1" fmla="*/ T0 w 717"/>
                <a:gd name="T2" fmla="*/ 0 h 968"/>
                <a:gd name="T3" fmla="+- 0 802 430"/>
                <a:gd name="T4" fmla="*/ T3 w 717"/>
                <a:gd name="T5" fmla="*/ 4 h 968"/>
                <a:gd name="T6" fmla="+- 0 741 430"/>
                <a:gd name="T7" fmla="*/ T6 w 717"/>
                <a:gd name="T8" fmla="*/ 20 h 968"/>
                <a:gd name="T9" fmla="+- 0 682 430"/>
                <a:gd name="T10" fmla="*/ T9 w 717"/>
                <a:gd name="T11" fmla="*/ 52 h 968"/>
                <a:gd name="T12" fmla="+- 0 626 430"/>
                <a:gd name="T13" fmla="*/ T12 w 717"/>
                <a:gd name="T14" fmla="*/ 99 h 968"/>
                <a:gd name="T15" fmla="+- 0 576 430"/>
                <a:gd name="T16" fmla="*/ T15 w 717"/>
                <a:gd name="T17" fmla="*/ 163 h 968"/>
                <a:gd name="T18" fmla="+- 0 532 430"/>
                <a:gd name="T19" fmla="*/ T18 w 717"/>
                <a:gd name="T20" fmla="*/ 244 h 968"/>
                <a:gd name="T21" fmla="+- 0 529 430"/>
                <a:gd name="T22" fmla="*/ T21 w 717"/>
                <a:gd name="T23" fmla="*/ 252 h 968"/>
                <a:gd name="T24" fmla="+- 0 539 430"/>
                <a:gd name="T25" fmla="*/ T24 w 717"/>
                <a:gd name="T26" fmla="*/ 259 h 968"/>
                <a:gd name="T27" fmla="+- 0 545 430"/>
                <a:gd name="T28" fmla="*/ T27 w 717"/>
                <a:gd name="T29" fmla="*/ 253 h 968"/>
                <a:gd name="T30" fmla="+- 0 579 430"/>
                <a:gd name="T31" fmla="*/ T30 w 717"/>
                <a:gd name="T32" fmla="*/ 220 h 968"/>
                <a:gd name="T33" fmla="+- 0 614 430"/>
                <a:gd name="T34" fmla="*/ T33 w 717"/>
                <a:gd name="T35" fmla="*/ 195 h 968"/>
                <a:gd name="T36" fmla="+- 0 648 430"/>
                <a:gd name="T37" fmla="*/ T36 w 717"/>
                <a:gd name="T38" fmla="*/ 177 h 968"/>
                <a:gd name="T39" fmla="+- 0 682 430"/>
                <a:gd name="T40" fmla="*/ T39 w 717"/>
                <a:gd name="T41" fmla="*/ 167 h 968"/>
                <a:gd name="T42" fmla="+- 0 714 430"/>
                <a:gd name="T43" fmla="*/ T42 w 717"/>
                <a:gd name="T44" fmla="*/ 164 h 968"/>
                <a:gd name="T45" fmla="+- 0 745 430"/>
                <a:gd name="T46" fmla="*/ T45 w 717"/>
                <a:gd name="T47" fmla="*/ 167 h 968"/>
                <a:gd name="T48" fmla="+- 0 822 430"/>
                <a:gd name="T49" fmla="*/ T48 w 717"/>
                <a:gd name="T50" fmla="*/ 213 h 968"/>
                <a:gd name="T51" fmla="+- 0 856 430"/>
                <a:gd name="T52" fmla="*/ T51 w 717"/>
                <a:gd name="T53" fmla="*/ 270 h 968"/>
                <a:gd name="T54" fmla="+- 0 871 430"/>
                <a:gd name="T55" fmla="*/ T54 w 717"/>
                <a:gd name="T56" fmla="*/ 345 h 968"/>
                <a:gd name="T57" fmla="+- 0 871 430"/>
                <a:gd name="T58" fmla="*/ T57 w 717"/>
                <a:gd name="T59" fmla="*/ 388 h 968"/>
                <a:gd name="T60" fmla="+- 0 850 430"/>
                <a:gd name="T61" fmla="*/ T60 w 717"/>
                <a:gd name="T62" fmla="*/ 484 h 968"/>
                <a:gd name="T63" fmla="+- 0 800 430"/>
                <a:gd name="T64" fmla="*/ T63 w 717"/>
                <a:gd name="T65" fmla="*/ 591 h 968"/>
                <a:gd name="T66" fmla="+- 0 764 430"/>
                <a:gd name="T67" fmla="*/ T66 w 717"/>
                <a:gd name="T68" fmla="*/ 648 h 968"/>
                <a:gd name="T69" fmla="+- 0 718 430"/>
                <a:gd name="T70" fmla="*/ T69 w 717"/>
                <a:gd name="T71" fmla="*/ 706 h 968"/>
                <a:gd name="T72" fmla="+- 0 663 430"/>
                <a:gd name="T73" fmla="*/ T72 w 717"/>
                <a:gd name="T74" fmla="*/ 766 h 968"/>
                <a:gd name="T75" fmla="+- 0 599 430"/>
                <a:gd name="T76" fmla="*/ T75 w 717"/>
                <a:gd name="T77" fmla="*/ 827 h 968"/>
                <a:gd name="T78" fmla="+- 0 524 430"/>
                <a:gd name="T79" fmla="*/ T78 w 717"/>
                <a:gd name="T80" fmla="*/ 888 h 968"/>
                <a:gd name="T81" fmla="+- 0 438 430"/>
                <a:gd name="T82" fmla="*/ T81 w 717"/>
                <a:gd name="T83" fmla="*/ 950 h 968"/>
                <a:gd name="T84" fmla="+- 0 430 430"/>
                <a:gd name="T85" fmla="*/ T84 w 717"/>
                <a:gd name="T86" fmla="*/ 956 h 968"/>
                <a:gd name="T87" fmla="+- 0 437 430"/>
                <a:gd name="T88" fmla="*/ T87 w 717"/>
                <a:gd name="T89" fmla="*/ 968 h 968"/>
                <a:gd name="T90" fmla="+- 0 535 430"/>
                <a:gd name="T91" fmla="*/ T90 w 717"/>
                <a:gd name="T92" fmla="*/ 927 h 968"/>
                <a:gd name="T93" fmla="+- 0 617 430"/>
                <a:gd name="T94" fmla="*/ T93 w 717"/>
                <a:gd name="T95" fmla="*/ 890 h 968"/>
                <a:gd name="T96" fmla="+- 0 692 430"/>
                <a:gd name="T97" fmla="*/ T96 w 717"/>
                <a:gd name="T98" fmla="*/ 851 h 968"/>
                <a:gd name="T99" fmla="+- 0 760 430"/>
                <a:gd name="T100" fmla="*/ T99 w 717"/>
                <a:gd name="T101" fmla="*/ 812 h 968"/>
                <a:gd name="T102" fmla="+- 0 822 430"/>
                <a:gd name="T103" fmla="*/ T102 w 717"/>
                <a:gd name="T104" fmla="*/ 772 h 968"/>
                <a:gd name="T105" fmla="+- 0 878 430"/>
                <a:gd name="T106" fmla="*/ T105 w 717"/>
                <a:gd name="T107" fmla="*/ 732 h 968"/>
                <a:gd name="T108" fmla="+- 0 928 430"/>
                <a:gd name="T109" fmla="*/ T108 w 717"/>
                <a:gd name="T110" fmla="*/ 692 h 968"/>
                <a:gd name="T111" fmla="+- 0 1011 430"/>
                <a:gd name="T112" fmla="*/ T111 w 717"/>
                <a:gd name="T113" fmla="*/ 612 h 968"/>
                <a:gd name="T114" fmla="+- 0 1073 430"/>
                <a:gd name="T115" fmla="*/ T114 w 717"/>
                <a:gd name="T116" fmla="*/ 532 h 968"/>
                <a:gd name="T117" fmla="+- 0 1115 430"/>
                <a:gd name="T118" fmla="*/ T117 w 717"/>
                <a:gd name="T119" fmla="*/ 454 h 968"/>
                <a:gd name="T120" fmla="+- 0 1139 430"/>
                <a:gd name="T121" fmla="*/ T120 w 717"/>
                <a:gd name="T122" fmla="*/ 379 h 968"/>
                <a:gd name="T123" fmla="+- 0 1147 430"/>
                <a:gd name="T124" fmla="*/ T123 w 717"/>
                <a:gd name="T125" fmla="*/ 308 h 968"/>
                <a:gd name="T126" fmla="+- 0 1145 430"/>
                <a:gd name="T127" fmla="*/ T126 w 717"/>
                <a:gd name="T128" fmla="*/ 274 h 968"/>
                <a:gd name="T129" fmla="+- 0 1132 430"/>
                <a:gd name="T130" fmla="*/ T129 w 717"/>
                <a:gd name="T131" fmla="*/ 211 h 968"/>
                <a:gd name="T132" fmla="+- 0 1107 430"/>
                <a:gd name="T133" fmla="*/ T132 w 717"/>
                <a:gd name="T134" fmla="*/ 153 h 968"/>
                <a:gd name="T135" fmla="+- 0 1072 430"/>
                <a:gd name="T136" fmla="*/ T135 w 717"/>
                <a:gd name="T137" fmla="*/ 104 h 968"/>
                <a:gd name="T138" fmla="+- 0 1028 430"/>
                <a:gd name="T139" fmla="*/ T138 w 717"/>
                <a:gd name="T140" fmla="*/ 63 h 968"/>
                <a:gd name="T141" fmla="+- 0 950 430"/>
                <a:gd name="T142" fmla="*/ T141 w 717"/>
                <a:gd name="T143" fmla="*/ 19 h 968"/>
                <a:gd name="T144" fmla="+- 0 893 430"/>
                <a:gd name="T145" fmla="*/ T144 w 717"/>
                <a:gd name="T146" fmla="*/ 4 h 968"/>
                <a:gd name="T147" fmla="+- 0 863 430"/>
                <a:gd name="T148" fmla="*/ T147 w 717"/>
                <a:gd name="T149" fmla="*/ 0 h 968"/>
              </a:gdLst>
              <a:ahLst/>
              <a:cxnLst>
                <a:cxn ang="0">
                  <a:pos x="T1" y="T2"/>
                </a:cxn>
                <a:cxn ang="0">
                  <a:pos x="T4" y="T5"/>
                </a:cxn>
                <a:cxn ang="0">
                  <a:pos x="T7" y="T8"/>
                </a:cxn>
                <a:cxn ang="0">
                  <a:pos x="T10" y="T11"/>
                </a:cxn>
                <a:cxn ang="0">
                  <a:pos x="T13" y="T14"/>
                </a:cxn>
                <a:cxn ang="0">
                  <a:pos x="T16" y="T17"/>
                </a:cxn>
                <a:cxn ang="0">
                  <a:pos x="T19" y="T20"/>
                </a:cxn>
                <a:cxn ang="0">
                  <a:pos x="T22" y="T23"/>
                </a:cxn>
                <a:cxn ang="0">
                  <a:pos x="T25" y="T26"/>
                </a:cxn>
                <a:cxn ang="0">
                  <a:pos x="T28" y="T29"/>
                </a:cxn>
                <a:cxn ang="0">
                  <a:pos x="T31" y="T32"/>
                </a:cxn>
                <a:cxn ang="0">
                  <a:pos x="T34" y="T35"/>
                </a:cxn>
                <a:cxn ang="0">
                  <a:pos x="T37" y="T38"/>
                </a:cxn>
                <a:cxn ang="0">
                  <a:pos x="T40" y="T41"/>
                </a:cxn>
                <a:cxn ang="0">
                  <a:pos x="T43" y="T44"/>
                </a:cxn>
                <a:cxn ang="0">
                  <a:pos x="T46" y="T47"/>
                </a:cxn>
                <a:cxn ang="0">
                  <a:pos x="T49" y="T50"/>
                </a:cxn>
                <a:cxn ang="0">
                  <a:pos x="T52" y="T53"/>
                </a:cxn>
                <a:cxn ang="0">
                  <a:pos x="T55" y="T56"/>
                </a:cxn>
                <a:cxn ang="0">
                  <a:pos x="T58" y="T59"/>
                </a:cxn>
                <a:cxn ang="0">
                  <a:pos x="T61" y="T62"/>
                </a:cxn>
                <a:cxn ang="0">
                  <a:pos x="T64" y="T65"/>
                </a:cxn>
                <a:cxn ang="0">
                  <a:pos x="T67" y="T68"/>
                </a:cxn>
                <a:cxn ang="0">
                  <a:pos x="T70" y="T71"/>
                </a:cxn>
                <a:cxn ang="0">
                  <a:pos x="T73" y="T74"/>
                </a:cxn>
                <a:cxn ang="0">
                  <a:pos x="T76" y="T77"/>
                </a:cxn>
                <a:cxn ang="0">
                  <a:pos x="T79" y="T80"/>
                </a:cxn>
                <a:cxn ang="0">
                  <a:pos x="T82" y="T83"/>
                </a:cxn>
                <a:cxn ang="0">
                  <a:pos x="T85" y="T86"/>
                </a:cxn>
                <a:cxn ang="0">
                  <a:pos x="T88" y="T89"/>
                </a:cxn>
                <a:cxn ang="0">
                  <a:pos x="T91" y="T92"/>
                </a:cxn>
                <a:cxn ang="0">
                  <a:pos x="T94" y="T95"/>
                </a:cxn>
                <a:cxn ang="0">
                  <a:pos x="T97" y="T98"/>
                </a:cxn>
                <a:cxn ang="0">
                  <a:pos x="T100" y="T101"/>
                </a:cxn>
                <a:cxn ang="0">
                  <a:pos x="T103" y="T104"/>
                </a:cxn>
                <a:cxn ang="0">
                  <a:pos x="T106" y="T107"/>
                </a:cxn>
                <a:cxn ang="0">
                  <a:pos x="T109" y="T110"/>
                </a:cxn>
                <a:cxn ang="0">
                  <a:pos x="T112" y="T113"/>
                </a:cxn>
                <a:cxn ang="0">
                  <a:pos x="T115" y="T116"/>
                </a:cxn>
                <a:cxn ang="0">
                  <a:pos x="T118" y="T119"/>
                </a:cxn>
                <a:cxn ang="0">
                  <a:pos x="T121" y="T122"/>
                </a:cxn>
                <a:cxn ang="0">
                  <a:pos x="T124" y="T125"/>
                </a:cxn>
                <a:cxn ang="0">
                  <a:pos x="T127" y="T128"/>
                </a:cxn>
                <a:cxn ang="0">
                  <a:pos x="T130" y="T131"/>
                </a:cxn>
                <a:cxn ang="0">
                  <a:pos x="T133" y="T134"/>
                </a:cxn>
                <a:cxn ang="0">
                  <a:pos x="T136" y="T137"/>
                </a:cxn>
                <a:cxn ang="0">
                  <a:pos x="T139" y="T140"/>
                </a:cxn>
                <a:cxn ang="0">
                  <a:pos x="T142" y="T143"/>
                </a:cxn>
                <a:cxn ang="0">
                  <a:pos x="T145" y="T146"/>
                </a:cxn>
                <a:cxn ang="0">
                  <a:pos x="T148" y="T149"/>
                </a:cxn>
              </a:cxnLst>
              <a:rect l="0" t="0" r="r" b="b"/>
              <a:pathLst>
                <a:path w="717" h="968">
                  <a:moveTo>
                    <a:pt x="433" y="0"/>
                  </a:moveTo>
                  <a:lnTo>
                    <a:pt x="372" y="4"/>
                  </a:lnTo>
                  <a:lnTo>
                    <a:pt x="311" y="20"/>
                  </a:lnTo>
                  <a:lnTo>
                    <a:pt x="252" y="52"/>
                  </a:lnTo>
                  <a:lnTo>
                    <a:pt x="196" y="99"/>
                  </a:lnTo>
                  <a:lnTo>
                    <a:pt x="146" y="163"/>
                  </a:lnTo>
                  <a:lnTo>
                    <a:pt x="102" y="244"/>
                  </a:lnTo>
                  <a:lnTo>
                    <a:pt x="99" y="252"/>
                  </a:lnTo>
                  <a:lnTo>
                    <a:pt x="109" y="259"/>
                  </a:lnTo>
                  <a:lnTo>
                    <a:pt x="115" y="253"/>
                  </a:lnTo>
                  <a:lnTo>
                    <a:pt x="149" y="220"/>
                  </a:lnTo>
                  <a:lnTo>
                    <a:pt x="184" y="195"/>
                  </a:lnTo>
                  <a:lnTo>
                    <a:pt x="218" y="177"/>
                  </a:lnTo>
                  <a:lnTo>
                    <a:pt x="252" y="167"/>
                  </a:lnTo>
                  <a:lnTo>
                    <a:pt x="284" y="164"/>
                  </a:lnTo>
                  <a:lnTo>
                    <a:pt x="315" y="167"/>
                  </a:lnTo>
                  <a:lnTo>
                    <a:pt x="392" y="213"/>
                  </a:lnTo>
                  <a:lnTo>
                    <a:pt x="426" y="270"/>
                  </a:lnTo>
                  <a:lnTo>
                    <a:pt x="441" y="345"/>
                  </a:lnTo>
                  <a:lnTo>
                    <a:pt x="441" y="388"/>
                  </a:lnTo>
                  <a:lnTo>
                    <a:pt x="420" y="484"/>
                  </a:lnTo>
                  <a:lnTo>
                    <a:pt x="370" y="591"/>
                  </a:lnTo>
                  <a:lnTo>
                    <a:pt x="334" y="648"/>
                  </a:lnTo>
                  <a:lnTo>
                    <a:pt x="288" y="706"/>
                  </a:lnTo>
                  <a:lnTo>
                    <a:pt x="233" y="766"/>
                  </a:lnTo>
                  <a:lnTo>
                    <a:pt x="169" y="827"/>
                  </a:lnTo>
                  <a:lnTo>
                    <a:pt x="94" y="888"/>
                  </a:lnTo>
                  <a:lnTo>
                    <a:pt x="8" y="950"/>
                  </a:lnTo>
                  <a:lnTo>
                    <a:pt x="0" y="956"/>
                  </a:lnTo>
                  <a:lnTo>
                    <a:pt x="7" y="968"/>
                  </a:lnTo>
                  <a:lnTo>
                    <a:pt x="105" y="927"/>
                  </a:lnTo>
                  <a:lnTo>
                    <a:pt x="187" y="890"/>
                  </a:lnTo>
                  <a:lnTo>
                    <a:pt x="262" y="851"/>
                  </a:lnTo>
                  <a:lnTo>
                    <a:pt x="330" y="812"/>
                  </a:lnTo>
                  <a:lnTo>
                    <a:pt x="392" y="772"/>
                  </a:lnTo>
                  <a:lnTo>
                    <a:pt x="448" y="732"/>
                  </a:lnTo>
                  <a:lnTo>
                    <a:pt x="498" y="692"/>
                  </a:lnTo>
                  <a:lnTo>
                    <a:pt x="581" y="612"/>
                  </a:lnTo>
                  <a:lnTo>
                    <a:pt x="643" y="532"/>
                  </a:lnTo>
                  <a:lnTo>
                    <a:pt x="685" y="454"/>
                  </a:lnTo>
                  <a:lnTo>
                    <a:pt x="709" y="379"/>
                  </a:lnTo>
                  <a:lnTo>
                    <a:pt x="717" y="308"/>
                  </a:lnTo>
                  <a:lnTo>
                    <a:pt x="715" y="274"/>
                  </a:lnTo>
                  <a:lnTo>
                    <a:pt x="702" y="211"/>
                  </a:lnTo>
                  <a:lnTo>
                    <a:pt x="677" y="153"/>
                  </a:lnTo>
                  <a:lnTo>
                    <a:pt x="642" y="104"/>
                  </a:lnTo>
                  <a:lnTo>
                    <a:pt x="598" y="63"/>
                  </a:lnTo>
                  <a:lnTo>
                    <a:pt x="520" y="19"/>
                  </a:lnTo>
                  <a:lnTo>
                    <a:pt x="463" y="4"/>
                  </a:lnTo>
                  <a:lnTo>
                    <a:pt x="433" y="0"/>
                  </a:lnTo>
                  <a:close/>
                </a:path>
              </a:pathLst>
            </a:custGeom>
            <a:solidFill>
              <a:srgbClr val="2CB34A"/>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19" name="docshape21">
              <a:extLst>
                <a:ext uri="{FF2B5EF4-FFF2-40B4-BE49-F238E27FC236}">
                  <a16:creationId xmlns:a16="http://schemas.microsoft.com/office/drawing/2014/main" id="{C8946463-5377-4FB3-483C-C7EDD91110D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7"/>
              <a:ext cx="492" cy="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docshape22">
              <a:extLst>
                <a:ext uri="{FF2B5EF4-FFF2-40B4-BE49-F238E27FC236}">
                  <a16:creationId xmlns:a16="http://schemas.microsoft.com/office/drawing/2014/main" id="{1AF5ECD9-8179-DA75-88E2-F2F6744A44A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3"/>
              <a:ext cx="980" cy="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 name="docshape23">
              <a:extLst>
                <a:ext uri="{FF2B5EF4-FFF2-40B4-BE49-F238E27FC236}">
                  <a16:creationId xmlns:a16="http://schemas.microsoft.com/office/drawing/2014/main" id="{D3083DA1-17D1-74FD-1F4D-2A69BACF81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2" y="33"/>
              <a:ext cx="615" cy="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docshape24">
              <a:extLst>
                <a:ext uri="{FF2B5EF4-FFF2-40B4-BE49-F238E27FC236}">
                  <a16:creationId xmlns:a16="http://schemas.microsoft.com/office/drawing/2014/main" id="{9C3CE513-6648-C841-B1BE-E8B058AABF0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0" y="0"/>
              <a:ext cx="581"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5" name="Group 4">
            <a:extLst>
              <a:ext uri="{FF2B5EF4-FFF2-40B4-BE49-F238E27FC236}">
                <a16:creationId xmlns:a16="http://schemas.microsoft.com/office/drawing/2014/main" id="{1B9610AA-C11F-4D13-F8E9-FE0AB54FA428}"/>
              </a:ext>
            </a:extLst>
          </xdr:cNvPr>
          <xdr:cNvGrpSpPr/>
        </xdr:nvGrpSpPr>
        <xdr:grpSpPr>
          <a:xfrm>
            <a:off x="3962400" y="0"/>
            <a:ext cx="2696925" cy="678180"/>
            <a:chOff x="0" y="0"/>
            <a:chExt cx="2984500" cy="678180"/>
          </a:xfrm>
        </xdr:grpSpPr>
        <xdr:grpSp>
          <xdr:nvGrpSpPr>
            <xdr:cNvPr id="6" name="docshapegroup1">
              <a:extLst>
                <a:ext uri="{FF2B5EF4-FFF2-40B4-BE49-F238E27FC236}">
                  <a16:creationId xmlns:a16="http://schemas.microsoft.com/office/drawing/2014/main" id="{8B4220A2-8463-8BB1-346A-15FE31CE1A9F}"/>
                </a:ext>
              </a:extLst>
            </xdr:cNvPr>
            <xdr:cNvGrpSpPr>
              <a:grpSpLocks/>
            </xdr:cNvGrpSpPr>
          </xdr:nvGrpSpPr>
          <xdr:grpSpPr bwMode="auto">
            <a:xfrm>
              <a:off x="0" y="0"/>
              <a:ext cx="2984500" cy="678180"/>
              <a:chOff x="0" y="0"/>
              <a:chExt cx="4292" cy="1068"/>
            </a:xfrm>
          </xdr:grpSpPr>
          <xdr:pic>
            <xdr:nvPicPr>
              <xdr:cNvPr id="9" name="docshape2">
                <a:extLst>
                  <a:ext uri="{FF2B5EF4-FFF2-40B4-BE49-F238E27FC236}">
                    <a16:creationId xmlns:a16="http://schemas.microsoft.com/office/drawing/2014/main" id="{4A55E55E-A03C-4257-3AE6-EEB931D745B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600"/>
                <a:ext cx="4292" cy="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docshape3">
                <a:extLst>
                  <a:ext uri="{FF2B5EF4-FFF2-40B4-BE49-F238E27FC236}">
                    <a16:creationId xmlns:a16="http://schemas.microsoft.com/office/drawing/2014/main" id="{AAEBD7BD-A9CD-7820-C5EF-1A76EA1578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87" y="62"/>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 name="docshape4">
                <a:extLst>
                  <a:ext uri="{FF2B5EF4-FFF2-40B4-BE49-F238E27FC236}">
                    <a16:creationId xmlns:a16="http://schemas.microsoft.com/office/drawing/2014/main" id="{B81BDEC2-F3FD-7351-78C7-58D42F200310}"/>
                  </a:ext>
                </a:extLst>
              </xdr:cNvPr>
              <xdr:cNvSpPr>
                <a:spLocks noChangeArrowheads="1"/>
              </xdr:cNvSpPr>
            </xdr:nvSpPr>
            <xdr:spPr bwMode="auto">
              <a:xfrm>
                <a:off x="2920"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2" name="docshape5">
                <a:extLst>
                  <a:ext uri="{FF2B5EF4-FFF2-40B4-BE49-F238E27FC236}">
                    <a16:creationId xmlns:a16="http://schemas.microsoft.com/office/drawing/2014/main" id="{DFFBA9DA-C5C4-6E09-4876-ADB9F4B333F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42" y="35"/>
                <a:ext cx="574" cy="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docshape6">
                <a:extLst>
                  <a:ext uri="{FF2B5EF4-FFF2-40B4-BE49-F238E27FC236}">
                    <a16:creationId xmlns:a16="http://schemas.microsoft.com/office/drawing/2014/main" id="{6613F15B-C9FE-D1B4-BAE6-CAFAAD342166}"/>
                  </a:ext>
                </a:extLst>
              </xdr:cNvPr>
              <xdr:cNvSpPr>
                <a:spLocks noChangeArrowheads="1"/>
              </xdr:cNvSpPr>
            </xdr:nvSpPr>
            <xdr:spPr bwMode="auto">
              <a:xfrm>
                <a:off x="3657"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4" name="docshape7">
                <a:extLst>
                  <a:ext uri="{FF2B5EF4-FFF2-40B4-BE49-F238E27FC236}">
                    <a16:creationId xmlns:a16="http://schemas.microsoft.com/office/drawing/2014/main" id="{60B44ECA-6724-899E-7648-06A39468115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6" y="0"/>
                <a:ext cx="2067" cy="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docshape8">
                <a:extLst>
                  <a:ext uri="{FF2B5EF4-FFF2-40B4-BE49-F238E27FC236}">
                    <a16:creationId xmlns:a16="http://schemas.microsoft.com/office/drawing/2014/main" id="{4C87481E-2127-C049-C541-6C99EB79039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1" y="350"/>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 name="docshape9">
                <a:extLst>
                  <a:ext uri="{FF2B5EF4-FFF2-40B4-BE49-F238E27FC236}">
                    <a16:creationId xmlns:a16="http://schemas.microsoft.com/office/drawing/2014/main" id="{240881FD-CE3F-7C25-3D02-7BDE89464146}"/>
                  </a:ext>
                </a:extLst>
              </xdr:cNvPr>
              <xdr:cNvSpPr>
                <a:spLocks noChangeArrowheads="1"/>
              </xdr:cNvSpPr>
            </xdr:nvSpPr>
            <xdr:spPr bwMode="auto">
              <a:xfrm>
                <a:off x="3453" y="349"/>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grpSp>
        <xdr:pic>
          <xdr:nvPicPr>
            <xdr:cNvPr id="7" name="image8.png">
              <a:extLst>
                <a:ext uri="{FF2B5EF4-FFF2-40B4-BE49-F238E27FC236}">
                  <a16:creationId xmlns:a16="http://schemas.microsoft.com/office/drawing/2014/main" id="{4C6C193B-EEA2-2D08-1EE8-497A0DF733CF}"/>
                </a:ext>
              </a:extLst>
            </xdr:cNvPr>
            <xdr:cNvPicPr>
              <a:picLocks noChangeAspect="1"/>
            </xdr:cNvPicPr>
          </xdr:nvPicPr>
          <xdr:blipFill>
            <a:blip xmlns:r="http://schemas.openxmlformats.org/officeDocument/2006/relationships" r:embed="rId13" cstate="print"/>
            <a:stretch>
              <a:fillRect/>
            </a:stretch>
          </xdr:blipFill>
          <xdr:spPr>
            <a:xfrm>
              <a:off x="51841" y="21405"/>
              <a:ext cx="400685" cy="156845"/>
            </a:xfrm>
            <a:prstGeom prst="rect">
              <a:avLst/>
            </a:prstGeom>
          </xdr:spPr>
        </xdr:pic>
        <xdr:pic>
          <xdr:nvPicPr>
            <xdr:cNvPr id="8" name="image9.png">
              <a:extLst>
                <a:ext uri="{FF2B5EF4-FFF2-40B4-BE49-F238E27FC236}">
                  <a16:creationId xmlns:a16="http://schemas.microsoft.com/office/drawing/2014/main" id="{D44FD7EF-7D18-82CF-CA7E-5A5D7CF6B8CE}"/>
                </a:ext>
              </a:extLst>
            </xdr:cNvPr>
            <xdr:cNvPicPr>
              <a:picLocks noChangeAspect="1"/>
            </xdr:cNvPicPr>
          </xdr:nvPicPr>
          <xdr:blipFill>
            <a:blip xmlns:r="http://schemas.openxmlformats.org/officeDocument/2006/relationships" r:embed="rId14" cstate="print"/>
            <a:stretch>
              <a:fillRect/>
            </a:stretch>
          </xdr:blipFill>
          <xdr:spPr>
            <a:xfrm>
              <a:off x="2609274" y="22040"/>
              <a:ext cx="343535" cy="161925"/>
            </a:xfrm>
            <a:prstGeom prst="rect">
              <a:avLst/>
            </a:prstGeom>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76853</xdr:colOff>
      <xdr:row>0</xdr:row>
      <xdr:rowOff>110794</xdr:rowOff>
    </xdr:from>
    <xdr:to>
      <xdr:col>5</xdr:col>
      <xdr:colOff>965200</xdr:colOff>
      <xdr:row>0</xdr:row>
      <xdr:rowOff>901700</xdr:rowOff>
    </xdr:to>
    <xdr:grpSp>
      <xdr:nvGrpSpPr>
        <xdr:cNvPr id="2" name="Group 1">
          <a:extLst>
            <a:ext uri="{FF2B5EF4-FFF2-40B4-BE49-F238E27FC236}">
              <a16:creationId xmlns:a16="http://schemas.microsoft.com/office/drawing/2014/main" id="{50D56ECB-F363-4CED-950B-E9EEBE6F0DB1}"/>
            </a:ext>
          </a:extLst>
        </xdr:cNvPr>
        <xdr:cNvGrpSpPr/>
      </xdr:nvGrpSpPr>
      <xdr:grpSpPr>
        <a:xfrm>
          <a:off x="76853" y="110794"/>
          <a:ext cx="7109853" cy="790906"/>
          <a:chOff x="0" y="0"/>
          <a:chExt cx="6659325" cy="678180"/>
        </a:xfrm>
      </xdr:grpSpPr>
      <xdr:grpSp>
        <xdr:nvGrpSpPr>
          <xdr:cNvPr id="3" name="Group 2">
            <a:extLst>
              <a:ext uri="{FF2B5EF4-FFF2-40B4-BE49-F238E27FC236}">
                <a16:creationId xmlns:a16="http://schemas.microsoft.com/office/drawing/2014/main" id="{301CD946-25CF-74FB-B6A8-328482F058A4}"/>
              </a:ext>
            </a:extLst>
          </xdr:cNvPr>
          <xdr:cNvGrpSpPr/>
        </xdr:nvGrpSpPr>
        <xdr:grpSpPr>
          <a:xfrm>
            <a:off x="0" y="6350"/>
            <a:ext cx="2619846" cy="655523"/>
            <a:chOff x="0" y="0"/>
            <a:chExt cx="2620314" cy="655523"/>
          </a:xfrm>
        </xdr:grpSpPr>
        <xdr:pic>
          <xdr:nvPicPr>
            <xdr:cNvPr id="23" name="Picture 22">
              <a:extLst>
                <a:ext uri="{FF2B5EF4-FFF2-40B4-BE49-F238E27FC236}">
                  <a16:creationId xmlns:a16="http://schemas.microsoft.com/office/drawing/2014/main" id="{4F9FDD41-DC52-CA0D-333E-462E8704F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6" y="0"/>
              <a:ext cx="2617888" cy="3048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4" name="docshapegroup10">
              <a:extLst>
                <a:ext uri="{FF2B5EF4-FFF2-40B4-BE49-F238E27FC236}">
                  <a16:creationId xmlns:a16="http://schemas.microsoft.com/office/drawing/2014/main" id="{6DC9790F-430A-C7F4-59E4-D0702B8C4423}"/>
                </a:ext>
              </a:extLst>
            </xdr:cNvPr>
            <xdr:cNvGrpSpPr>
              <a:grpSpLocks/>
            </xdr:cNvGrpSpPr>
          </xdr:nvGrpSpPr>
          <xdr:grpSpPr bwMode="auto">
            <a:xfrm>
              <a:off x="0" y="424383"/>
              <a:ext cx="2353032" cy="231140"/>
              <a:chOff x="0" y="424383"/>
              <a:chExt cx="4102" cy="364"/>
            </a:xfrm>
          </xdr:grpSpPr>
          <xdr:pic>
            <xdr:nvPicPr>
              <xdr:cNvPr id="25" name="docshape11">
                <a:extLst>
                  <a:ext uri="{FF2B5EF4-FFF2-40B4-BE49-F238E27FC236}">
                    <a16:creationId xmlns:a16="http://schemas.microsoft.com/office/drawing/2014/main" id="{BF3BD69E-299D-7F7F-4743-146C17D158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4384"/>
                <a:ext cx="367"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6" name="docshape12">
                <a:extLst>
                  <a:ext uri="{FF2B5EF4-FFF2-40B4-BE49-F238E27FC236}">
                    <a16:creationId xmlns:a16="http://schemas.microsoft.com/office/drawing/2014/main" id="{401E31E3-B4D4-D11F-3D37-87805516BF26}"/>
                  </a:ext>
                </a:extLst>
              </xdr:cNvPr>
              <xdr:cNvSpPr>
                <a:spLocks/>
              </xdr:cNvSpPr>
            </xdr:nvSpPr>
            <xdr:spPr bwMode="auto">
              <a:xfrm>
                <a:off x="397" y="424387"/>
                <a:ext cx="17" cy="133"/>
              </a:xfrm>
              <a:custGeom>
                <a:avLst/>
                <a:gdLst>
                  <a:gd name="T0" fmla="+- 0 1030 1016"/>
                  <a:gd name="T1" fmla="*/ T0 w 17"/>
                  <a:gd name="T2" fmla="+- 0 1407 1370"/>
                  <a:gd name="T3" fmla="*/ 1407 h 133"/>
                  <a:gd name="T4" fmla="+- 0 1018 1016"/>
                  <a:gd name="T5" fmla="*/ T4 w 17"/>
                  <a:gd name="T6" fmla="+- 0 1407 1370"/>
                  <a:gd name="T7" fmla="*/ 1407 h 133"/>
                  <a:gd name="T8" fmla="+- 0 1018 1016"/>
                  <a:gd name="T9" fmla="*/ T8 w 17"/>
                  <a:gd name="T10" fmla="+- 0 1502 1370"/>
                  <a:gd name="T11" fmla="*/ 1502 h 133"/>
                  <a:gd name="T12" fmla="+- 0 1030 1016"/>
                  <a:gd name="T13" fmla="*/ T12 w 17"/>
                  <a:gd name="T14" fmla="+- 0 1502 1370"/>
                  <a:gd name="T15" fmla="*/ 1502 h 133"/>
                  <a:gd name="T16" fmla="+- 0 1030 1016"/>
                  <a:gd name="T17" fmla="*/ T16 w 17"/>
                  <a:gd name="T18" fmla="+- 0 1407 1370"/>
                  <a:gd name="T19" fmla="*/ 1407 h 133"/>
                  <a:gd name="T20" fmla="+- 0 1027 1016"/>
                  <a:gd name="T21" fmla="*/ T20 w 17"/>
                  <a:gd name="T22" fmla="+- 0 1370 1370"/>
                  <a:gd name="T23" fmla="*/ 1370 h 133"/>
                  <a:gd name="T24" fmla="+- 0 1021 1016"/>
                  <a:gd name="T25" fmla="*/ T24 w 17"/>
                  <a:gd name="T26" fmla="+- 0 1370 1370"/>
                  <a:gd name="T27" fmla="*/ 1370 h 133"/>
                  <a:gd name="T28" fmla="+- 0 1019 1016"/>
                  <a:gd name="T29" fmla="*/ T28 w 17"/>
                  <a:gd name="T30" fmla="+- 0 1371 1370"/>
                  <a:gd name="T31" fmla="*/ 1371 h 133"/>
                  <a:gd name="T32" fmla="+- 0 1016 1016"/>
                  <a:gd name="T33" fmla="*/ T32 w 17"/>
                  <a:gd name="T34" fmla="+- 0 1374 1370"/>
                  <a:gd name="T35" fmla="*/ 1374 h 133"/>
                  <a:gd name="T36" fmla="+- 0 1016 1016"/>
                  <a:gd name="T37" fmla="*/ T36 w 17"/>
                  <a:gd name="T38" fmla="+- 0 1376 1370"/>
                  <a:gd name="T39" fmla="*/ 1376 h 133"/>
                  <a:gd name="T40" fmla="+- 0 1016 1016"/>
                  <a:gd name="T41" fmla="*/ T40 w 17"/>
                  <a:gd name="T42" fmla="+- 0 1381 1370"/>
                  <a:gd name="T43" fmla="*/ 1381 h 133"/>
                  <a:gd name="T44" fmla="+- 0 1016 1016"/>
                  <a:gd name="T45" fmla="*/ T44 w 17"/>
                  <a:gd name="T46" fmla="+- 0 1383 1370"/>
                  <a:gd name="T47" fmla="*/ 1383 h 133"/>
                  <a:gd name="T48" fmla="+- 0 1019 1016"/>
                  <a:gd name="T49" fmla="*/ T48 w 17"/>
                  <a:gd name="T50" fmla="+- 0 1387 1370"/>
                  <a:gd name="T51" fmla="*/ 1387 h 133"/>
                  <a:gd name="T52" fmla="+- 0 1021 1016"/>
                  <a:gd name="T53" fmla="*/ T52 w 17"/>
                  <a:gd name="T54" fmla="+- 0 1387 1370"/>
                  <a:gd name="T55" fmla="*/ 1387 h 133"/>
                  <a:gd name="T56" fmla="+- 0 1027 1016"/>
                  <a:gd name="T57" fmla="*/ T56 w 17"/>
                  <a:gd name="T58" fmla="+- 0 1387 1370"/>
                  <a:gd name="T59" fmla="*/ 1387 h 133"/>
                  <a:gd name="T60" fmla="+- 0 1029 1016"/>
                  <a:gd name="T61" fmla="*/ T60 w 17"/>
                  <a:gd name="T62" fmla="+- 0 1387 1370"/>
                  <a:gd name="T63" fmla="*/ 1387 h 133"/>
                  <a:gd name="T64" fmla="+- 0 1032 1016"/>
                  <a:gd name="T65" fmla="*/ T64 w 17"/>
                  <a:gd name="T66" fmla="+- 0 1383 1370"/>
                  <a:gd name="T67" fmla="*/ 1383 h 133"/>
                  <a:gd name="T68" fmla="+- 0 1032 1016"/>
                  <a:gd name="T69" fmla="*/ T68 w 17"/>
                  <a:gd name="T70" fmla="+- 0 1381 1370"/>
                  <a:gd name="T71" fmla="*/ 1381 h 133"/>
                  <a:gd name="T72" fmla="+- 0 1032 1016"/>
                  <a:gd name="T73" fmla="*/ T72 w 17"/>
                  <a:gd name="T74" fmla="+- 0 1376 1370"/>
                  <a:gd name="T75" fmla="*/ 1376 h 133"/>
                  <a:gd name="T76" fmla="+- 0 1032 1016"/>
                  <a:gd name="T77" fmla="*/ T76 w 17"/>
                  <a:gd name="T78" fmla="+- 0 1374 1370"/>
                  <a:gd name="T79" fmla="*/ 1374 h 133"/>
                  <a:gd name="T80" fmla="+- 0 1029 1016"/>
                  <a:gd name="T81" fmla="*/ T80 w 17"/>
                  <a:gd name="T82" fmla="+- 0 1371 1370"/>
                  <a:gd name="T83" fmla="*/ 1371 h 133"/>
                  <a:gd name="T84" fmla="+- 0 1027 1016"/>
                  <a:gd name="T85" fmla="*/ T84 w 17"/>
                  <a:gd name="T86" fmla="+- 0 1370 1370"/>
                  <a:gd name="T87" fmla="*/ 1370 h 133"/>
                </a:gdLst>
                <a:ahLst/>
                <a:cxnLst>
                  <a:cxn ang="0">
                    <a:pos x="T1" y="T3"/>
                  </a:cxn>
                  <a:cxn ang="0">
                    <a:pos x="T5" y="T7"/>
                  </a:cxn>
                  <a:cxn ang="0">
                    <a:pos x="T9" y="T11"/>
                  </a:cxn>
                  <a:cxn ang="0">
                    <a:pos x="T13" y="T15"/>
                  </a:cxn>
                  <a:cxn ang="0">
                    <a:pos x="T17" y="T19"/>
                  </a:cxn>
                  <a:cxn ang="0">
                    <a:pos x="T21" y="T23"/>
                  </a:cxn>
                  <a:cxn ang="0">
                    <a:pos x="T25" y="T27"/>
                  </a:cxn>
                  <a:cxn ang="0">
                    <a:pos x="T29" y="T31"/>
                  </a:cxn>
                  <a:cxn ang="0">
                    <a:pos x="T33" y="T35"/>
                  </a:cxn>
                  <a:cxn ang="0">
                    <a:pos x="T37" y="T39"/>
                  </a:cxn>
                  <a:cxn ang="0">
                    <a:pos x="T41" y="T43"/>
                  </a:cxn>
                  <a:cxn ang="0">
                    <a:pos x="T45" y="T47"/>
                  </a:cxn>
                  <a:cxn ang="0">
                    <a:pos x="T49" y="T51"/>
                  </a:cxn>
                  <a:cxn ang="0">
                    <a:pos x="T53" y="T55"/>
                  </a:cxn>
                  <a:cxn ang="0">
                    <a:pos x="T57" y="T59"/>
                  </a:cxn>
                  <a:cxn ang="0">
                    <a:pos x="T61" y="T63"/>
                  </a:cxn>
                  <a:cxn ang="0">
                    <a:pos x="T65" y="T67"/>
                  </a:cxn>
                  <a:cxn ang="0">
                    <a:pos x="T69" y="T71"/>
                  </a:cxn>
                  <a:cxn ang="0">
                    <a:pos x="T73" y="T75"/>
                  </a:cxn>
                  <a:cxn ang="0">
                    <a:pos x="T77" y="T79"/>
                  </a:cxn>
                  <a:cxn ang="0">
                    <a:pos x="T81" y="T83"/>
                  </a:cxn>
                  <a:cxn ang="0">
                    <a:pos x="T85" y="T87"/>
                  </a:cxn>
                </a:cxnLst>
                <a:rect l="0" t="0" r="r" b="b"/>
                <a:pathLst>
                  <a:path w="17" h="133">
                    <a:moveTo>
                      <a:pt x="14" y="37"/>
                    </a:moveTo>
                    <a:lnTo>
                      <a:pt x="2" y="37"/>
                    </a:lnTo>
                    <a:lnTo>
                      <a:pt x="2" y="132"/>
                    </a:lnTo>
                    <a:lnTo>
                      <a:pt x="14" y="132"/>
                    </a:lnTo>
                    <a:lnTo>
                      <a:pt x="14" y="37"/>
                    </a:lnTo>
                    <a:close/>
                    <a:moveTo>
                      <a:pt x="11" y="0"/>
                    </a:moveTo>
                    <a:lnTo>
                      <a:pt x="5" y="0"/>
                    </a:lnTo>
                    <a:lnTo>
                      <a:pt x="3" y="1"/>
                    </a:lnTo>
                    <a:lnTo>
                      <a:pt x="0" y="4"/>
                    </a:lnTo>
                    <a:lnTo>
                      <a:pt x="0" y="6"/>
                    </a:lnTo>
                    <a:lnTo>
                      <a:pt x="0" y="11"/>
                    </a:lnTo>
                    <a:lnTo>
                      <a:pt x="0" y="13"/>
                    </a:lnTo>
                    <a:lnTo>
                      <a:pt x="3" y="17"/>
                    </a:lnTo>
                    <a:lnTo>
                      <a:pt x="5" y="17"/>
                    </a:lnTo>
                    <a:lnTo>
                      <a:pt x="11" y="17"/>
                    </a:lnTo>
                    <a:lnTo>
                      <a:pt x="13" y="17"/>
                    </a:lnTo>
                    <a:lnTo>
                      <a:pt x="16" y="13"/>
                    </a:lnTo>
                    <a:lnTo>
                      <a:pt x="16" y="11"/>
                    </a:lnTo>
                    <a:lnTo>
                      <a:pt x="16" y="6"/>
                    </a:lnTo>
                    <a:lnTo>
                      <a:pt x="16" y="4"/>
                    </a:lnTo>
                    <a:lnTo>
                      <a:pt x="13" y="1"/>
                    </a:lnTo>
                    <a:lnTo>
                      <a:pt x="11" y="0"/>
                    </a:lnTo>
                    <a:close/>
                  </a:path>
                </a:pathLst>
              </a:custGeom>
              <a:solidFill>
                <a:srgbClr val="231F20"/>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27" name="docshape13">
                <a:extLst>
                  <a:ext uri="{FF2B5EF4-FFF2-40B4-BE49-F238E27FC236}">
                    <a16:creationId xmlns:a16="http://schemas.microsoft.com/office/drawing/2014/main" id="{52ED0E61-E41B-2435-2701-4A08A0041D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8" y="424383"/>
                <a:ext cx="3624" cy="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grpSp>
        <xdr:nvGrpSpPr>
          <xdr:cNvPr id="4" name="docshapegroup18">
            <a:extLst>
              <a:ext uri="{FF2B5EF4-FFF2-40B4-BE49-F238E27FC236}">
                <a16:creationId xmlns:a16="http://schemas.microsoft.com/office/drawing/2014/main" id="{0C8F7A43-0E50-28FB-8D77-7E98EEF38B5C}"/>
              </a:ext>
            </a:extLst>
          </xdr:cNvPr>
          <xdr:cNvGrpSpPr/>
        </xdr:nvGrpSpPr>
        <xdr:grpSpPr bwMode="auto">
          <a:xfrm>
            <a:off x="2965450" y="38100"/>
            <a:ext cx="728345" cy="621030"/>
            <a:chOff x="0" y="0"/>
            <a:chExt cx="1147" cy="978"/>
          </a:xfrm>
        </xdr:grpSpPr>
        <xdr:sp macro="" textlink="">
          <xdr:nvSpPr>
            <xdr:cNvPr id="17" name="docshape19">
              <a:extLst>
                <a:ext uri="{FF2B5EF4-FFF2-40B4-BE49-F238E27FC236}">
                  <a16:creationId xmlns:a16="http://schemas.microsoft.com/office/drawing/2014/main" id="{D30BC466-2C99-67D3-DB24-A220566B2AB6}"/>
                </a:ext>
              </a:extLst>
            </xdr:cNvPr>
            <xdr:cNvSpPr>
              <a:spLocks/>
            </xdr:cNvSpPr>
          </xdr:nvSpPr>
          <xdr:spPr bwMode="auto">
            <a:xfrm>
              <a:off x="0" y="127"/>
              <a:ext cx="493" cy="548"/>
            </a:xfrm>
            <a:custGeom>
              <a:avLst/>
              <a:gdLst>
                <a:gd name="T0" fmla="*/ 216 w 493"/>
                <a:gd name="T1" fmla="+- 0 127 127"/>
                <a:gd name="T2" fmla="*/ 127 h 548"/>
                <a:gd name="T3" fmla="*/ 143 w 493"/>
                <a:gd name="T4" fmla="+- 0 137 127"/>
                <a:gd name="T5" fmla="*/ 137 h 548"/>
                <a:gd name="T6" fmla="*/ 82 w 493"/>
                <a:gd name="T7" fmla="+- 0 166 127"/>
                <a:gd name="T8" fmla="*/ 166 h 548"/>
                <a:gd name="T9" fmla="*/ 36 w 493"/>
                <a:gd name="T10" fmla="+- 0 212 127"/>
                <a:gd name="T11" fmla="*/ 212 h 548"/>
                <a:gd name="T12" fmla="*/ 7 w 493"/>
                <a:gd name="T13" fmla="+- 0 270 127"/>
                <a:gd name="T14" fmla="*/ 270 h 548"/>
                <a:gd name="T15" fmla="*/ 0 w 493"/>
                <a:gd name="T16" fmla="+- 0 337 127"/>
                <a:gd name="T17" fmla="*/ 337 h 548"/>
                <a:gd name="T18" fmla="*/ 5 w 493"/>
                <a:gd name="T19" fmla="+- 0 372 127"/>
                <a:gd name="T20" fmla="*/ 372 h 548"/>
                <a:gd name="T21" fmla="*/ 33 w 493"/>
                <a:gd name="T22" fmla="+- 0 444 127"/>
                <a:gd name="T23" fmla="*/ 444 h 548"/>
                <a:gd name="T24" fmla="*/ 89 w 493"/>
                <a:gd name="T25" fmla="+- 0 513 127"/>
                <a:gd name="T26" fmla="*/ 513 h 548"/>
                <a:gd name="T27" fmla="*/ 175 w 493"/>
                <a:gd name="T28" fmla="+- 0 578 127"/>
                <a:gd name="T29" fmla="*/ 578 h 548"/>
                <a:gd name="T30" fmla="*/ 230 w 493"/>
                <a:gd name="T31" fmla="+- 0 606 127"/>
                <a:gd name="T32" fmla="*/ 606 h 548"/>
                <a:gd name="T33" fmla="*/ 293 w 493"/>
                <a:gd name="T34" fmla="+- 0 632 127"/>
                <a:gd name="T35" fmla="*/ 632 h 548"/>
                <a:gd name="T36" fmla="*/ 366 w 493"/>
                <a:gd name="T37" fmla="+- 0 655 127"/>
                <a:gd name="T38" fmla="*/ 655 h 548"/>
                <a:gd name="T39" fmla="*/ 447 w 493"/>
                <a:gd name="T40" fmla="+- 0 673 127"/>
                <a:gd name="T41" fmla="*/ 673 h 548"/>
                <a:gd name="T42" fmla="*/ 456 w 493"/>
                <a:gd name="T43" fmla="+- 0 675 127"/>
                <a:gd name="T44" fmla="*/ 675 h 548"/>
                <a:gd name="T45" fmla="*/ 461 w 493"/>
                <a:gd name="T46" fmla="+- 0 662 127"/>
                <a:gd name="T47" fmla="*/ 662 h 548"/>
                <a:gd name="T48" fmla="*/ 452 w 493"/>
                <a:gd name="T49" fmla="+- 0 658 127"/>
                <a:gd name="T50" fmla="*/ 658 h 548"/>
                <a:gd name="T51" fmla="*/ 374 w 493"/>
                <a:gd name="T52" fmla="+- 0 616 127"/>
                <a:gd name="T53" fmla="*/ 616 h 548"/>
                <a:gd name="T54" fmla="*/ 312 w 493"/>
                <a:gd name="T55" fmla="+- 0 567 127"/>
                <a:gd name="T56" fmla="*/ 567 h 548"/>
                <a:gd name="T57" fmla="*/ 266 w 493"/>
                <a:gd name="T58" fmla="+- 0 514 127"/>
                <a:gd name="T59" fmla="*/ 514 h 548"/>
                <a:gd name="T60" fmla="*/ 235 w 493"/>
                <a:gd name="T61" fmla="+- 0 459 127"/>
                <a:gd name="T62" fmla="*/ 459 h 548"/>
                <a:gd name="T63" fmla="*/ 218 w 493"/>
                <a:gd name="T64" fmla="+- 0 356 127"/>
                <a:gd name="T65" fmla="*/ 356 h 548"/>
                <a:gd name="T66" fmla="*/ 231 w 493"/>
                <a:gd name="T67" fmla="+- 0 313 127"/>
                <a:gd name="T68" fmla="*/ 313 h 548"/>
                <a:gd name="T69" fmla="*/ 259 w 493"/>
                <a:gd name="T70" fmla="+- 0 278 127"/>
                <a:gd name="T71" fmla="*/ 278 h 548"/>
                <a:gd name="T72" fmla="*/ 300 w 493"/>
                <a:gd name="T73" fmla="+- 0 256 127"/>
                <a:gd name="T74" fmla="*/ 256 h 548"/>
                <a:gd name="T75" fmla="*/ 355 w 493"/>
                <a:gd name="T76" fmla="+- 0 248 127"/>
                <a:gd name="T77" fmla="*/ 248 h 548"/>
                <a:gd name="T78" fmla="*/ 382 w 493"/>
                <a:gd name="T79" fmla="+- 0 249 127"/>
                <a:gd name="T80" fmla="*/ 249 h 548"/>
                <a:gd name="T81" fmla="*/ 412 w 493"/>
                <a:gd name="T82" fmla="+- 0 254 127"/>
                <a:gd name="T83" fmla="*/ 254 h 548"/>
                <a:gd name="T84" fmla="*/ 444 w 493"/>
                <a:gd name="T85" fmla="+- 0 262 127"/>
                <a:gd name="T86" fmla="*/ 262 h 548"/>
                <a:gd name="T87" fmla="*/ 478 w 493"/>
                <a:gd name="T88" fmla="+- 0 275 127"/>
                <a:gd name="T89" fmla="*/ 275 h 548"/>
                <a:gd name="T90" fmla="*/ 486 w 493"/>
                <a:gd name="T91" fmla="+- 0 278 127"/>
                <a:gd name="T92" fmla="*/ 278 h 548"/>
                <a:gd name="T93" fmla="*/ 492 w 493"/>
                <a:gd name="T94" fmla="+- 0 268 127"/>
                <a:gd name="T95" fmla="*/ 268 h 548"/>
                <a:gd name="T96" fmla="*/ 438 w 493"/>
                <a:gd name="T97" fmla="+- 0 220 127"/>
                <a:gd name="T98" fmla="*/ 220 h 548"/>
                <a:gd name="T99" fmla="*/ 345 w 493"/>
                <a:gd name="T100" fmla="+- 0 161 127"/>
                <a:gd name="T101" fmla="*/ 161 h 548"/>
                <a:gd name="T102" fmla="*/ 257 w 493"/>
                <a:gd name="T103" fmla="+- 0 132 127"/>
                <a:gd name="T104" fmla="*/ 132 h 548"/>
                <a:gd name="T105" fmla="*/ 216 w 493"/>
                <a:gd name="T106" fmla="+- 0 127 127"/>
                <a:gd name="T107" fmla="*/ 127 h 548"/>
              </a:gdLst>
              <a:ahLst/>
              <a:cxnLst>
                <a:cxn ang="0">
                  <a:pos x="T0" y="T2"/>
                </a:cxn>
                <a:cxn ang="0">
                  <a:pos x="T3" y="T5"/>
                </a:cxn>
                <a:cxn ang="0">
                  <a:pos x="T6" y="T8"/>
                </a:cxn>
                <a:cxn ang="0">
                  <a:pos x="T9" y="T11"/>
                </a:cxn>
                <a:cxn ang="0">
                  <a:pos x="T12" y="T14"/>
                </a:cxn>
                <a:cxn ang="0">
                  <a:pos x="T15" y="T17"/>
                </a:cxn>
                <a:cxn ang="0">
                  <a:pos x="T18" y="T20"/>
                </a:cxn>
                <a:cxn ang="0">
                  <a:pos x="T21" y="T23"/>
                </a:cxn>
                <a:cxn ang="0">
                  <a:pos x="T24" y="T26"/>
                </a:cxn>
                <a:cxn ang="0">
                  <a:pos x="T27" y="T29"/>
                </a:cxn>
                <a:cxn ang="0">
                  <a:pos x="T30" y="T32"/>
                </a:cxn>
                <a:cxn ang="0">
                  <a:pos x="T33" y="T35"/>
                </a:cxn>
                <a:cxn ang="0">
                  <a:pos x="T36" y="T38"/>
                </a:cxn>
                <a:cxn ang="0">
                  <a:pos x="T39" y="T41"/>
                </a:cxn>
                <a:cxn ang="0">
                  <a:pos x="T42" y="T44"/>
                </a:cxn>
                <a:cxn ang="0">
                  <a:pos x="T45" y="T47"/>
                </a:cxn>
                <a:cxn ang="0">
                  <a:pos x="T48" y="T50"/>
                </a:cxn>
                <a:cxn ang="0">
                  <a:pos x="T51" y="T53"/>
                </a:cxn>
                <a:cxn ang="0">
                  <a:pos x="T54" y="T56"/>
                </a:cxn>
                <a:cxn ang="0">
                  <a:pos x="T57" y="T59"/>
                </a:cxn>
                <a:cxn ang="0">
                  <a:pos x="T60" y="T62"/>
                </a:cxn>
                <a:cxn ang="0">
                  <a:pos x="T63" y="T65"/>
                </a:cxn>
                <a:cxn ang="0">
                  <a:pos x="T66" y="T68"/>
                </a:cxn>
                <a:cxn ang="0">
                  <a:pos x="T69" y="T71"/>
                </a:cxn>
                <a:cxn ang="0">
                  <a:pos x="T72" y="T74"/>
                </a:cxn>
                <a:cxn ang="0">
                  <a:pos x="T75" y="T77"/>
                </a:cxn>
                <a:cxn ang="0">
                  <a:pos x="T78" y="T80"/>
                </a:cxn>
                <a:cxn ang="0">
                  <a:pos x="T81" y="T83"/>
                </a:cxn>
                <a:cxn ang="0">
                  <a:pos x="T84" y="T86"/>
                </a:cxn>
                <a:cxn ang="0">
                  <a:pos x="T87" y="T89"/>
                </a:cxn>
                <a:cxn ang="0">
                  <a:pos x="T90" y="T92"/>
                </a:cxn>
                <a:cxn ang="0">
                  <a:pos x="T93" y="T95"/>
                </a:cxn>
                <a:cxn ang="0">
                  <a:pos x="T96" y="T98"/>
                </a:cxn>
                <a:cxn ang="0">
                  <a:pos x="T99" y="T101"/>
                </a:cxn>
                <a:cxn ang="0">
                  <a:pos x="T102" y="T104"/>
                </a:cxn>
                <a:cxn ang="0">
                  <a:pos x="T105" y="T107"/>
                </a:cxn>
              </a:cxnLst>
              <a:rect l="0" t="0" r="r" b="b"/>
              <a:pathLst>
                <a:path w="493" h="548">
                  <a:moveTo>
                    <a:pt x="216" y="0"/>
                  </a:moveTo>
                  <a:lnTo>
                    <a:pt x="143" y="10"/>
                  </a:lnTo>
                  <a:lnTo>
                    <a:pt x="82" y="39"/>
                  </a:lnTo>
                  <a:lnTo>
                    <a:pt x="36" y="85"/>
                  </a:lnTo>
                  <a:lnTo>
                    <a:pt x="7" y="143"/>
                  </a:lnTo>
                  <a:lnTo>
                    <a:pt x="0" y="210"/>
                  </a:lnTo>
                  <a:lnTo>
                    <a:pt x="5" y="245"/>
                  </a:lnTo>
                  <a:lnTo>
                    <a:pt x="33" y="317"/>
                  </a:lnTo>
                  <a:lnTo>
                    <a:pt x="89" y="386"/>
                  </a:lnTo>
                  <a:lnTo>
                    <a:pt x="175" y="451"/>
                  </a:lnTo>
                  <a:lnTo>
                    <a:pt x="230" y="479"/>
                  </a:lnTo>
                  <a:lnTo>
                    <a:pt x="293" y="505"/>
                  </a:lnTo>
                  <a:lnTo>
                    <a:pt x="366" y="528"/>
                  </a:lnTo>
                  <a:lnTo>
                    <a:pt x="447" y="546"/>
                  </a:lnTo>
                  <a:lnTo>
                    <a:pt x="456" y="548"/>
                  </a:lnTo>
                  <a:lnTo>
                    <a:pt x="461" y="535"/>
                  </a:lnTo>
                  <a:lnTo>
                    <a:pt x="452" y="531"/>
                  </a:lnTo>
                  <a:lnTo>
                    <a:pt x="374" y="489"/>
                  </a:lnTo>
                  <a:lnTo>
                    <a:pt x="312" y="440"/>
                  </a:lnTo>
                  <a:lnTo>
                    <a:pt x="266" y="387"/>
                  </a:lnTo>
                  <a:lnTo>
                    <a:pt x="235" y="332"/>
                  </a:lnTo>
                  <a:lnTo>
                    <a:pt x="218" y="229"/>
                  </a:lnTo>
                  <a:lnTo>
                    <a:pt x="231" y="186"/>
                  </a:lnTo>
                  <a:lnTo>
                    <a:pt x="259" y="151"/>
                  </a:lnTo>
                  <a:lnTo>
                    <a:pt x="300" y="129"/>
                  </a:lnTo>
                  <a:lnTo>
                    <a:pt x="355" y="121"/>
                  </a:lnTo>
                  <a:lnTo>
                    <a:pt x="382" y="122"/>
                  </a:lnTo>
                  <a:lnTo>
                    <a:pt x="412" y="127"/>
                  </a:lnTo>
                  <a:lnTo>
                    <a:pt x="444" y="135"/>
                  </a:lnTo>
                  <a:lnTo>
                    <a:pt x="478" y="148"/>
                  </a:lnTo>
                  <a:lnTo>
                    <a:pt x="486" y="151"/>
                  </a:lnTo>
                  <a:lnTo>
                    <a:pt x="492" y="141"/>
                  </a:lnTo>
                  <a:lnTo>
                    <a:pt x="438" y="93"/>
                  </a:lnTo>
                  <a:lnTo>
                    <a:pt x="345" y="34"/>
                  </a:lnTo>
                  <a:lnTo>
                    <a:pt x="257" y="5"/>
                  </a:lnTo>
                  <a:lnTo>
                    <a:pt x="216" y="0"/>
                  </a:lnTo>
                  <a:close/>
                </a:path>
              </a:pathLst>
            </a:custGeom>
            <a:solidFill>
              <a:srgbClr val="00AAE7"/>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8" name="docshape20">
              <a:extLst>
                <a:ext uri="{FF2B5EF4-FFF2-40B4-BE49-F238E27FC236}">
                  <a16:creationId xmlns:a16="http://schemas.microsoft.com/office/drawing/2014/main" id="{23926612-A136-AEA2-8127-800892886565}"/>
                </a:ext>
              </a:extLst>
            </xdr:cNvPr>
            <xdr:cNvSpPr>
              <a:spLocks/>
            </xdr:cNvSpPr>
          </xdr:nvSpPr>
          <xdr:spPr bwMode="auto">
            <a:xfrm>
              <a:off x="430" y="0"/>
              <a:ext cx="717" cy="968"/>
            </a:xfrm>
            <a:custGeom>
              <a:avLst/>
              <a:gdLst>
                <a:gd name="T0" fmla="+- 0 863 430"/>
                <a:gd name="T1" fmla="*/ T0 w 717"/>
                <a:gd name="T2" fmla="*/ 0 h 968"/>
                <a:gd name="T3" fmla="+- 0 802 430"/>
                <a:gd name="T4" fmla="*/ T3 w 717"/>
                <a:gd name="T5" fmla="*/ 4 h 968"/>
                <a:gd name="T6" fmla="+- 0 741 430"/>
                <a:gd name="T7" fmla="*/ T6 w 717"/>
                <a:gd name="T8" fmla="*/ 20 h 968"/>
                <a:gd name="T9" fmla="+- 0 682 430"/>
                <a:gd name="T10" fmla="*/ T9 w 717"/>
                <a:gd name="T11" fmla="*/ 52 h 968"/>
                <a:gd name="T12" fmla="+- 0 626 430"/>
                <a:gd name="T13" fmla="*/ T12 w 717"/>
                <a:gd name="T14" fmla="*/ 99 h 968"/>
                <a:gd name="T15" fmla="+- 0 576 430"/>
                <a:gd name="T16" fmla="*/ T15 w 717"/>
                <a:gd name="T17" fmla="*/ 163 h 968"/>
                <a:gd name="T18" fmla="+- 0 532 430"/>
                <a:gd name="T19" fmla="*/ T18 w 717"/>
                <a:gd name="T20" fmla="*/ 244 h 968"/>
                <a:gd name="T21" fmla="+- 0 529 430"/>
                <a:gd name="T22" fmla="*/ T21 w 717"/>
                <a:gd name="T23" fmla="*/ 252 h 968"/>
                <a:gd name="T24" fmla="+- 0 539 430"/>
                <a:gd name="T25" fmla="*/ T24 w 717"/>
                <a:gd name="T26" fmla="*/ 259 h 968"/>
                <a:gd name="T27" fmla="+- 0 545 430"/>
                <a:gd name="T28" fmla="*/ T27 w 717"/>
                <a:gd name="T29" fmla="*/ 253 h 968"/>
                <a:gd name="T30" fmla="+- 0 579 430"/>
                <a:gd name="T31" fmla="*/ T30 w 717"/>
                <a:gd name="T32" fmla="*/ 220 h 968"/>
                <a:gd name="T33" fmla="+- 0 614 430"/>
                <a:gd name="T34" fmla="*/ T33 w 717"/>
                <a:gd name="T35" fmla="*/ 195 h 968"/>
                <a:gd name="T36" fmla="+- 0 648 430"/>
                <a:gd name="T37" fmla="*/ T36 w 717"/>
                <a:gd name="T38" fmla="*/ 177 h 968"/>
                <a:gd name="T39" fmla="+- 0 682 430"/>
                <a:gd name="T40" fmla="*/ T39 w 717"/>
                <a:gd name="T41" fmla="*/ 167 h 968"/>
                <a:gd name="T42" fmla="+- 0 714 430"/>
                <a:gd name="T43" fmla="*/ T42 w 717"/>
                <a:gd name="T44" fmla="*/ 164 h 968"/>
                <a:gd name="T45" fmla="+- 0 745 430"/>
                <a:gd name="T46" fmla="*/ T45 w 717"/>
                <a:gd name="T47" fmla="*/ 167 h 968"/>
                <a:gd name="T48" fmla="+- 0 822 430"/>
                <a:gd name="T49" fmla="*/ T48 w 717"/>
                <a:gd name="T50" fmla="*/ 213 h 968"/>
                <a:gd name="T51" fmla="+- 0 856 430"/>
                <a:gd name="T52" fmla="*/ T51 w 717"/>
                <a:gd name="T53" fmla="*/ 270 h 968"/>
                <a:gd name="T54" fmla="+- 0 871 430"/>
                <a:gd name="T55" fmla="*/ T54 w 717"/>
                <a:gd name="T56" fmla="*/ 345 h 968"/>
                <a:gd name="T57" fmla="+- 0 871 430"/>
                <a:gd name="T58" fmla="*/ T57 w 717"/>
                <a:gd name="T59" fmla="*/ 388 h 968"/>
                <a:gd name="T60" fmla="+- 0 850 430"/>
                <a:gd name="T61" fmla="*/ T60 w 717"/>
                <a:gd name="T62" fmla="*/ 484 h 968"/>
                <a:gd name="T63" fmla="+- 0 800 430"/>
                <a:gd name="T64" fmla="*/ T63 w 717"/>
                <a:gd name="T65" fmla="*/ 591 h 968"/>
                <a:gd name="T66" fmla="+- 0 764 430"/>
                <a:gd name="T67" fmla="*/ T66 w 717"/>
                <a:gd name="T68" fmla="*/ 648 h 968"/>
                <a:gd name="T69" fmla="+- 0 718 430"/>
                <a:gd name="T70" fmla="*/ T69 w 717"/>
                <a:gd name="T71" fmla="*/ 706 h 968"/>
                <a:gd name="T72" fmla="+- 0 663 430"/>
                <a:gd name="T73" fmla="*/ T72 w 717"/>
                <a:gd name="T74" fmla="*/ 766 h 968"/>
                <a:gd name="T75" fmla="+- 0 599 430"/>
                <a:gd name="T76" fmla="*/ T75 w 717"/>
                <a:gd name="T77" fmla="*/ 827 h 968"/>
                <a:gd name="T78" fmla="+- 0 524 430"/>
                <a:gd name="T79" fmla="*/ T78 w 717"/>
                <a:gd name="T80" fmla="*/ 888 h 968"/>
                <a:gd name="T81" fmla="+- 0 438 430"/>
                <a:gd name="T82" fmla="*/ T81 w 717"/>
                <a:gd name="T83" fmla="*/ 950 h 968"/>
                <a:gd name="T84" fmla="+- 0 430 430"/>
                <a:gd name="T85" fmla="*/ T84 w 717"/>
                <a:gd name="T86" fmla="*/ 956 h 968"/>
                <a:gd name="T87" fmla="+- 0 437 430"/>
                <a:gd name="T88" fmla="*/ T87 w 717"/>
                <a:gd name="T89" fmla="*/ 968 h 968"/>
                <a:gd name="T90" fmla="+- 0 535 430"/>
                <a:gd name="T91" fmla="*/ T90 w 717"/>
                <a:gd name="T92" fmla="*/ 927 h 968"/>
                <a:gd name="T93" fmla="+- 0 617 430"/>
                <a:gd name="T94" fmla="*/ T93 w 717"/>
                <a:gd name="T95" fmla="*/ 890 h 968"/>
                <a:gd name="T96" fmla="+- 0 692 430"/>
                <a:gd name="T97" fmla="*/ T96 w 717"/>
                <a:gd name="T98" fmla="*/ 851 h 968"/>
                <a:gd name="T99" fmla="+- 0 760 430"/>
                <a:gd name="T100" fmla="*/ T99 w 717"/>
                <a:gd name="T101" fmla="*/ 812 h 968"/>
                <a:gd name="T102" fmla="+- 0 822 430"/>
                <a:gd name="T103" fmla="*/ T102 w 717"/>
                <a:gd name="T104" fmla="*/ 772 h 968"/>
                <a:gd name="T105" fmla="+- 0 878 430"/>
                <a:gd name="T106" fmla="*/ T105 w 717"/>
                <a:gd name="T107" fmla="*/ 732 h 968"/>
                <a:gd name="T108" fmla="+- 0 928 430"/>
                <a:gd name="T109" fmla="*/ T108 w 717"/>
                <a:gd name="T110" fmla="*/ 692 h 968"/>
                <a:gd name="T111" fmla="+- 0 1011 430"/>
                <a:gd name="T112" fmla="*/ T111 w 717"/>
                <a:gd name="T113" fmla="*/ 612 h 968"/>
                <a:gd name="T114" fmla="+- 0 1073 430"/>
                <a:gd name="T115" fmla="*/ T114 w 717"/>
                <a:gd name="T116" fmla="*/ 532 h 968"/>
                <a:gd name="T117" fmla="+- 0 1115 430"/>
                <a:gd name="T118" fmla="*/ T117 w 717"/>
                <a:gd name="T119" fmla="*/ 454 h 968"/>
                <a:gd name="T120" fmla="+- 0 1139 430"/>
                <a:gd name="T121" fmla="*/ T120 w 717"/>
                <a:gd name="T122" fmla="*/ 379 h 968"/>
                <a:gd name="T123" fmla="+- 0 1147 430"/>
                <a:gd name="T124" fmla="*/ T123 w 717"/>
                <a:gd name="T125" fmla="*/ 308 h 968"/>
                <a:gd name="T126" fmla="+- 0 1145 430"/>
                <a:gd name="T127" fmla="*/ T126 w 717"/>
                <a:gd name="T128" fmla="*/ 274 h 968"/>
                <a:gd name="T129" fmla="+- 0 1132 430"/>
                <a:gd name="T130" fmla="*/ T129 w 717"/>
                <a:gd name="T131" fmla="*/ 211 h 968"/>
                <a:gd name="T132" fmla="+- 0 1107 430"/>
                <a:gd name="T133" fmla="*/ T132 w 717"/>
                <a:gd name="T134" fmla="*/ 153 h 968"/>
                <a:gd name="T135" fmla="+- 0 1072 430"/>
                <a:gd name="T136" fmla="*/ T135 w 717"/>
                <a:gd name="T137" fmla="*/ 104 h 968"/>
                <a:gd name="T138" fmla="+- 0 1028 430"/>
                <a:gd name="T139" fmla="*/ T138 w 717"/>
                <a:gd name="T140" fmla="*/ 63 h 968"/>
                <a:gd name="T141" fmla="+- 0 950 430"/>
                <a:gd name="T142" fmla="*/ T141 w 717"/>
                <a:gd name="T143" fmla="*/ 19 h 968"/>
                <a:gd name="T144" fmla="+- 0 893 430"/>
                <a:gd name="T145" fmla="*/ T144 w 717"/>
                <a:gd name="T146" fmla="*/ 4 h 968"/>
                <a:gd name="T147" fmla="+- 0 863 430"/>
                <a:gd name="T148" fmla="*/ T147 w 717"/>
                <a:gd name="T149" fmla="*/ 0 h 968"/>
              </a:gdLst>
              <a:ahLst/>
              <a:cxnLst>
                <a:cxn ang="0">
                  <a:pos x="T1" y="T2"/>
                </a:cxn>
                <a:cxn ang="0">
                  <a:pos x="T4" y="T5"/>
                </a:cxn>
                <a:cxn ang="0">
                  <a:pos x="T7" y="T8"/>
                </a:cxn>
                <a:cxn ang="0">
                  <a:pos x="T10" y="T11"/>
                </a:cxn>
                <a:cxn ang="0">
                  <a:pos x="T13" y="T14"/>
                </a:cxn>
                <a:cxn ang="0">
                  <a:pos x="T16" y="T17"/>
                </a:cxn>
                <a:cxn ang="0">
                  <a:pos x="T19" y="T20"/>
                </a:cxn>
                <a:cxn ang="0">
                  <a:pos x="T22" y="T23"/>
                </a:cxn>
                <a:cxn ang="0">
                  <a:pos x="T25" y="T26"/>
                </a:cxn>
                <a:cxn ang="0">
                  <a:pos x="T28" y="T29"/>
                </a:cxn>
                <a:cxn ang="0">
                  <a:pos x="T31" y="T32"/>
                </a:cxn>
                <a:cxn ang="0">
                  <a:pos x="T34" y="T35"/>
                </a:cxn>
                <a:cxn ang="0">
                  <a:pos x="T37" y="T38"/>
                </a:cxn>
                <a:cxn ang="0">
                  <a:pos x="T40" y="T41"/>
                </a:cxn>
                <a:cxn ang="0">
                  <a:pos x="T43" y="T44"/>
                </a:cxn>
                <a:cxn ang="0">
                  <a:pos x="T46" y="T47"/>
                </a:cxn>
                <a:cxn ang="0">
                  <a:pos x="T49" y="T50"/>
                </a:cxn>
                <a:cxn ang="0">
                  <a:pos x="T52" y="T53"/>
                </a:cxn>
                <a:cxn ang="0">
                  <a:pos x="T55" y="T56"/>
                </a:cxn>
                <a:cxn ang="0">
                  <a:pos x="T58" y="T59"/>
                </a:cxn>
                <a:cxn ang="0">
                  <a:pos x="T61" y="T62"/>
                </a:cxn>
                <a:cxn ang="0">
                  <a:pos x="T64" y="T65"/>
                </a:cxn>
                <a:cxn ang="0">
                  <a:pos x="T67" y="T68"/>
                </a:cxn>
                <a:cxn ang="0">
                  <a:pos x="T70" y="T71"/>
                </a:cxn>
                <a:cxn ang="0">
                  <a:pos x="T73" y="T74"/>
                </a:cxn>
                <a:cxn ang="0">
                  <a:pos x="T76" y="T77"/>
                </a:cxn>
                <a:cxn ang="0">
                  <a:pos x="T79" y="T80"/>
                </a:cxn>
                <a:cxn ang="0">
                  <a:pos x="T82" y="T83"/>
                </a:cxn>
                <a:cxn ang="0">
                  <a:pos x="T85" y="T86"/>
                </a:cxn>
                <a:cxn ang="0">
                  <a:pos x="T88" y="T89"/>
                </a:cxn>
                <a:cxn ang="0">
                  <a:pos x="T91" y="T92"/>
                </a:cxn>
                <a:cxn ang="0">
                  <a:pos x="T94" y="T95"/>
                </a:cxn>
                <a:cxn ang="0">
                  <a:pos x="T97" y="T98"/>
                </a:cxn>
                <a:cxn ang="0">
                  <a:pos x="T100" y="T101"/>
                </a:cxn>
                <a:cxn ang="0">
                  <a:pos x="T103" y="T104"/>
                </a:cxn>
                <a:cxn ang="0">
                  <a:pos x="T106" y="T107"/>
                </a:cxn>
                <a:cxn ang="0">
                  <a:pos x="T109" y="T110"/>
                </a:cxn>
                <a:cxn ang="0">
                  <a:pos x="T112" y="T113"/>
                </a:cxn>
                <a:cxn ang="0">
                  <a:pos x="T115" y="T116"/>
                </a:cxn>
                <a:cxn ang="0">
                  <a:pos x="T118" y="T119"/>
                </a:cxn>
                <a:cxn ang="0">
                  <a:pos x="T121" y="T122"/>
                </a:cxn>
                <a:cxn ang="0">
                  <a:pos x="T124" y="T125"/>
                </a:cxn>
                <a:cxn ang="0">
                  <a:pos x="T127" y="T128"/>
                </a:cxn>
                <a:cxn ang="0">
                  <a:pos x="T130" y="T131"/>
                </a:cxn>
                <a:cxn ang="0">
                  <a:pos x="T133" y="T134"/>
                </a:cxn>
                <a:cxn ang="0">
                  <a:pos x="T136" y="T137"/>
                </a:cxn>
                <a:cxn ang="0">
                  <a:pos x="T139" y="T140"/>
                </a:cxn>
                <a:cxn ang="0">
                  <a:pos x="T142" y="T143"/>
                </a:cxn>
                <a:cxn ang="0">
                  <a:pos x="T145" y="T146"/>
                </a:cxn>
                <a:cxn ang="0">
                  <a:pos x="T148" y="T149"/>
                </a:cxn>
              </a:cxnLst>
              <a:rect l="0" t="0" r="r" b="b"/>
              <a:pathLst>
                <a:path w="717" h="968">
                  <a:moveTo>
                    <a:pt x="433" y="0"/>
                  </a:moveTo>
                  <a:lnTo>
                    <a:pt x="372" y="4"/>
                  </a:lnTo>
                  <a:lnTo>
                    <a:pt x="311" y="20"/>
                  </a:lnTo>
                  <a:lnTo>
                    <a:pt x="252" y="52"/>
                  </a:lnTo>
                  <a:lnTo>
                    <a:pt x="196" y="99"/>
                  </a:lnTo>
                  <a:lnTo>
                    <a:pt x="146" y="163"/>
                  </a:lnTo>
                  <a:lnTo>
                    <a:pt x="102" y="244"/>
                  </a:lnTo>
                  <a:lnTo>
                    <a:pt x="99" y="252"/>
                  </a:lnTo>
                  <a:lnTo>
                    <a:pt x="109" y="259"/>
                  </a:lnTo>
                  <a:lnTo>
                    <a:pt x="115" y="253"/>
                  </a:lnTo>
                  <a:lnTo>
                    <a:pt x="149" y="220"/>
                  </a:lnTo>
                  <a:lnTo>
                    <a:pt x="184" y="195"/>
                  </a:lnTo>
                  <a:lnTo>
                    <a:pt x="218" y="177"/>
                  </a:lnTo>
                  <a:lnTo>
                    <a:pt x="252" y="167"/>
                  </a:lnTo>
                  <a:lnTo>
                    <a:pt x="284" y="164"/>
                  </a:lnTo>
                  <a:lnTo>
                    <a:pt x="315" y="167"/>
                  </a:lnTo>
                  <a:lnTo>
                    <a:pt x="392" y="213"/>
                  </a:lnTo>
                  <a:lnTo>
                    <a:pt x="426" y="270"/>
                  </a:lnTo>
                  <a:lnTo>
                    <a:pt x="441" y="345"/>
                  </a:lnTo>
                  <a:lnTo>
                    <a:pt x="441" y="388"/>
                  </a:lnTo>
                  <a:lnTo>
                    <a:pt x="420" y="484"/>
                  </a:lnTo>
                  <a:lnTo>
                    <a:pt x="370" y="591"/>
                  </a:lnTo>
                  <a:lnTo>
                    <a:pt x="334" y="648"/>
                  </a:lnTo>
                  <a:lnTo>
                    <a:pt x="288" y="706"/>
                  </a:lnTo>
                  <a:lnTo>
                    <a:pt x="233" y="766"/>
                  </a:lnTo>
                  <a:lnTo>
                    <a:pt x="169" y="827"/>
                  </a:lnTo>
                  <a:lnTo>
                    <a:pt x="94" y="888"/>
                  </a:lnTo>
                  <a:lnTo>
                    <a:pt x="8" y="950"/>
                  </a:lnTo>
                  <a:lnTo>
                    <a:pt x="0" y="956"/>
                  </a:lnTo>
                  <a:lnTo>
                    <a:pt x="7" y="968"/>
                  </a:lnTo>
                  <a:lnTo>
                    <a:pt x="105" y="927"/>
                  </a:lnTo>
                  <a:lnTo>
                    <a:pt x="187" y="890"/>
                  </a:lnTo>
                  <a:lnTo>
                    <a:pt x="262" y="851"/>
                  </a:lnTo>
                  <a:lnTo>
                    <a:pt x="330" y="812"/>
                  </a:lnTo>
                  <a:lnTo>
                    <a:pt x="392" y="772"/>
                  </a:lnTo>
                  <a:lnTo>
                    <a:pt x="448" y="732"/>
                  </a:lnTo>
                  <a:lnTo>
                    <a:pt x="498" y="692"/>
                  </a:lnTo>
                  <a:lnTo>
                    <a:pt x="581" y="612"/>
                  </a:lnTo>
                  <a:lnTo>
                    <a:pt x="643" y="532"/>
                  </a:lnTo>
                  <a:lnTo>
                    <a:pt x="685" y="454"/>
                  </a:lnTo>
                  <a:lnTo>
                    <a:pt x="709" y="379"/>
                  </a:lnTo>
                  <a:lnTo>
                    <a:pt x="717" y="308"/>
                  </a:lnTo>
                  <a:lnTo>
                    <a:pt x="715" y="274"/>
                  </a:lnTo>
                  <a:lnTo>
                    <a:pt x="702" y="211"/>
                  </a:lnTo>
                  <a:lnTo>
                    <a:pt x="677" y="153"/>
                  </a:lnTo>
                  <a:lnTo>
                    <a:pt x="642" y="104"/>
                  </a:lnTo>
                  <a:lnTo>
                    <a:pt x="598" y="63"/>
                  </a:lnTo>
                  <a:lnTo>
                    <a:pt x="520" y="19"/>
                  </a:lnTo>
                  <a:lnTo>
                    <a:pt x="463" y="4"/>
                  </a:lnTo>
                  <a:lnTo>
                    <a:pt x="433" y="0"/>
                  </a:lnTo>
                  <a:close/>
                </a:path>
              </a:pathLst>
            </a:custGeom>
            <a:solidFill>
              <a:srgbClr val="2CB34A"/>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pic>
          <xdr:nvPicPr>
            <xdr:cNvPr id="19" name="docshape21">
              <a:extLst>
                <a:ext uri="{FF2B5EF4-FFF2-40B4-BE49-F238E27FC236}">
                  <a16:creationId xmlns:a16="http://schemas.microsoft.com/office/drawing/2014/main" id="{04A62C86-627B-6324-B3FB-D494B2935B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7"/>
              <a:ext cx="492" cy="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docshape22">
              <a:extLst>
                <a:ext uri="{FF2B5EF4-FFF2-40B4-BE49-F238E27FC236}">
                  <a16:creationId xmlns:a16="http://schemas.microsoft.com/office/drawing/2014/main" id="{74DA30F9-30F1-C580-7723-4123B667532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73"/>
              <a:ext cx="980" cy="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 name="docshape23">
              <a:extLst>
                <a:ext uri="{FF2B5EF4-FFF2-40B4-BE49-F238E27FC236}">
                  <a16:creationId xmlns:a16="http://schemas.microsoft.com/office/drawing/2014/main" id="{931CCFEC-4499-4FEE-188A-AB1EE7AA24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2" y="33"/>
              <a:ext cx="615" cy="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docshape24">
              <a:extLst>
                <a:ext uri="{FF2B5EF4-FFF2-40B4-BE49-F238E27FC236}">
                  <a16:creationId xmlns:a16="http://schemas.microsoft.com/office/drawing/2014/main" id="{15FC7536-9ADD-9408-7043-7C236008E03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0" y="0"/>
              <a:ext cx="581"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5" name="Group 4">
            <a:extLst>
              <a:ext uri="{FF2B5EF4-FFF2-40B4-BE49-F238E27FC236}">
                <a16:creationId xmlns:a16="http://schemas.microsoft.com/office/drawing/2014/main" id="{FCE7CD3F-D011-E0AF-A247-5DCFEBB5678C}"/>
              </a:ext>
            </a:extLst>
          </xdr:cNvPr>
          <xdr:cNvGrpSpPr/>
        </xdr:nvGrpSpPr>
        <xdr:grpSpPr>
          <a:xfrm>
            <a:off x="3962400" y="0"/>
            <a:ext cx="2696925" cy="678180"/>
            <a:chOff x="0" y="0"/>
            <a:chExt cx="2984500" cy="678180"/>
          </a:xfrm>
        </xdr:grpSpPr>
        <xdr:grpSp>
          <xdr:nvGrpSpPr>
            <xdr:cNvPr id="6" name="docshapegroup1">
              <a:extLst>
                <a:ext uri="{FF2B5EF4-FFF2-40B4-BE49-F238E27FC236}">
                  <a16:creationId xmlns:a16="http://schemas.microsoft.com/office/drawing/2014/main" id="{41FCD5E5-5E75-D89B-48DB-52DF98A5A798}"/>
                </a:ext>
              </a:extLst>
            </xdr:cNvPr>
            <xdr:cNvGrpSpPr>
              <a:grpSpLocks/>
            </xdr:cNvGrpSpPr>
          </xdr:nvGrpSpPr>
          <xdr:grpSpPr bwMode="auto">
            <a:xfrm>
              <a:off x="0" y="0"/>
              <a:ext cx="2984500" cy="678180"/>
              <a:chOff x="0" y="0"/>
              <a:chExt cx="4292" cy="1068"/>
            </a:xfrm>
          </xdr:grpSpPr>
          <xdr:pic>
            <xdr:nvPicPr>
              <xdr:cNvPr id="9" name="docshape2">
                <a:extLst>
                  <a:ext uri="{FF2B5EF4-FFF2-40B4-BE49-F238E27FC236}">
                    <a16:creationId xmlns:a16="http://schemas.microsoft.com/office/drawing/2014/main" id="{536C2944-7FF8-3BD2-7FBA-71163E9C906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600"/>
                <a:ext cx="4292" cy="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docshape3">
                <a:extLst>
                  <a:ext uri="{FF2B5EF4-FFF2-40B4-BE49-F238E27FC236}">
                    <a16:creationId xmlns:a16="http://schemas.microsoft.com/office/drawing/2014/main" id="{3584571D-9FCA-C7D6-5A3D-B676FF2E0A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87" y="62"/>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 name="docshape4">
                <a:extLst>
                  <a:ext uri="{FF2B5EF4-FFF2-40B4-BE49-F238E27FC236}">
                    <a16:creationId xmlns:a16="http://schemas.microsoft.com/office/drawing/2014/main" id="{DE343165-8E36-E7ED-2897-89D659A2A66A}"/>
                  </a:ext>
                </a:extLst>
              </xdr:cNvPr>
              <xdr:cNvSpPr>
                <a:spLocks noChangeArrowheads="1"/>
              </xdr:cNvSpPr>
            </xdr:nvSpPr>
            <xdr:spPr bwMode="auto">
              <a:xfrm>
                <a:off x="2920"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2" name="docshape5">
                <a:extLst>
                  <a:ext uri="{FF2B5EF4-FFF2-40B4-BE49-F238E27FC236}">
                    <a16:creationId xmlns:a16="http://schemas.microsoft.com/office/drawing/2014/main" id="{90A5BB9D-A6CE-6019-193A-DF3EAF51A93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42" y="35"/>
                <a:ext cx="574" cy="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docshape6">
                <a:extLst>
                  <a:ext uri="{FF2B5EF4-FFF2-40B4-BE49-F238E27FC236}">
                    <a16:creationId xmlns:a16="http://schemas.microsoft.com/office/drawing/2014/main" id="{46C67DA9-7CAD-0BFF-E6E4-936A0916DDB4}"/>
                  </a:ext>
                </a:extLst>
              </xdr:cNvPr>
              <xdr:cNvSpPr>
                <a:spLocks noChangeArrowheads="1"/>
              </xdr:cNvSpPr>
            </xdr:nvSpPr>
            <xdr:spPr bwMode="auto">
              <a:xfrm>
                <a:off x="3657" y="61"/>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pic>
            <xdr:nvPicPr>
              <xdr:cNvPr id="14" name="docshape7">
                <a:extLst>
                  <a:ext uri="{FF2B5EF4-FFF2-40B4-BE49-F238E27FC236}">
                    <a16:creationId xmlns:a16="http://schemas.microsoft.com/office/drawing/2014/main" id="{9A8A2353-2643-D192-441F-2C1287862B0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6" y="0"/>
                <a:ext cx="2067" cy="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docshape8">
                <a:extLst>
                  <a:ext uri="{FF2B5EF4-FFF2-40B4-BE49-F238E27FC236}">
                    <a16:creationId xmlns:a16="http://schemas.microsoft.com/office/drawing/2014/main" id="{C208C81C-BD7D-7812-2E10-4007B3BAC3F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1" y="350"/>
                <a:ext cx="618" cy="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 name="docshape9">
                <a:extLst>
                  <a:ext uri="{FF2B5EF4-FFF2-40B4-BE49-F238E27FC236}">
                    <a16:creationId xmlns:a16="http://schemas.microsoft.com/office/drawing/2014/main" id="{676D72D3-CB00-CE77-574D-507D178BDB03}"/>
                  </a:ext>
                </a:extLst>
              </xdr:cNvPr>
              <xdr:cNvSpPr>
                <a:spLocks noChangeArrowheads="1"/>
              </xdr:cNvSpPr>
            </xdr:nvSpPr>
            <xdr:spPr bwMode="auto">
              <a:xfrm>
                <a:off x="3453" y="349"/>
                <a:ext cx="32" cy="170"/>
              </a:xfrm>
              <a:prstGeom prst="rect">
                <a:avLst/>
              </a:prstGeom>
              <a:solidFill>
                <a:srgbClr val="231F2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grpSp>
        <xdr:pic>
          <xdr:nvPicPr>
            <xdr:cNvPr id="7" name="image8.png">
              <a:extLst>
                <a:ext uri="{FF2B5EF4-FFF2-40B4-BE49-F238E27FC236}">
                  <a16:creationId xmlns:a16="http://schemas.microsoft.com/office/drawing/2014/main" id="{8C9505E6-D75D-8436-26E3-FB6ECB4042C2}"/>
                </a:ext>
              </a:extLst>
            </xdr:cNvPr>
            <xdr:cNvPicPr>
              <a:picLocks noChangeAspect="1"/>
            </xdr:cNvPicPr>
          </xdr:nvPicPr>
          <xdr:blipFill>
            <a:blip xmlns:r="http://schemas.openxmlformats.org/officeDocument/2006/relationships" r:embed="rId13" cstate="print"/>
            <a:stretch>
              <a:fillRect/>
            </a:stretch>
          </xdr:blipFill>
          <xdr:spPr>
            <a:xfrm>
              <a:off x="51841" y="21405"/>
              <a:ext cx="400685" cy="156845"/>
            </a:xfrm>
            <a:prstGeom prst="rect">
              <a:avLst/>
            </a:prstGeom>
          </xdr:spPr>
        </xdr:pic>
        <xdr:pic>
          <xdr:nvPicPr>
            <xdr:cNvPr id="8" name="image9.png">
              <a:extLst>
                <a:ext uri="{FF2B5EF4-FFF2-40B4-BE49-F238E27FC236}">
                  <a16:creationId xmlns:a16="http://schemas.microsoft.com/office/drawing/2014/main" id="{7D5C4A08-C4AC-8C21-BBE0-A800D3912888}"/>
                </a:ext>
              </a:extLst>
            </xdr:cNvPr>
            <xdr:cNvPicPr>
              <a:picLocks noChangeAspect="1"/>
            </xdr:cNvPicPr>
          </xdr:nvPicPr>
          <xdr:blipFill>
            <a:blip xmlns:r="http://schemas.openxmlformats.org/officeDocument/2006/relationships" r:embed="rId14" cstate="print"/>
            <a:stretch>
              <a:fillRect/>
            </a:stretch>
          </xdr:blipFill>
          <xdr:spPr>
            <a:xfrm>
              <a:off x="2609274" y="22040"/>
              <a:ext cx="343535" cy="161925"/>
            </a:xfrm>
            <a:prstGeom prst="rect">
              <a:avLst/>
            </a:prstGeom>
          </xdr:spPr>
        </xdr:pic>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04\common\Riaz%20Bhatti\XYZ\skb\ten\CAMPU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4\common\Riaz%20Bhatti\XYZ\skb\ten\SFDC-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oshad\Site%20Office\01-Animal%20Care%20(10032)\BOQ\Working%20Sep-18\baba\PILLARS\BOQ.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Dropbox\SPINE-1202-(%20Zawawy%20villas)\B.O.Q\ATEF%20VILLA\SPINE-1202(ATEF%20VILL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Noshad_ul_haq\AppData\Local\Microsoft\Windows\Temporary%20Internet%20Files\Content.Outlook\TFSOZBSJ\baba\PILLARS\BOQ.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DATA/TEN/TALIBW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14-March-2010\OPD%20Clinics\Book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Dropbox\SPINE-1202-(%20Zawawy%20villas)\B.O.Q\ADEL%20VILLA\ENGLISH\SPINE-1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HAFFAT\Shared%20Docs\Documents%20and%20Settings\user\My%20Documents\BMC-Jeddah\BMC%20%20BOQ\BOQ-BMCJ.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h\Prints\INCOMTAX%20BUILDING%20-%20LAHORE%20-%20%20GUJRANWAL\My%20Documents\KACHHI%20CANAL%20KC-4-FIR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1.199\Design\Anwar%20Khokhar\For%20-%20Rafique%20QS%20(E%20&amp;%20M)\Afendi\Afendi%20Docs\Data\BMC-Jeddah\BMC%20%20BOQ\BOQ-BMCJ-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Dropbox\Documents%20and%20Settings\Admin\My%20Documents\Book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04\common\Riaz%20Bhatti\XYZ\786-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ovhd"/>
      <sheetName val="URA-C1"/>
      <sheetName val="Sheet1"/>
      <sheetName val="URA-R1"/>
    </sheetNames>
    <sheetDataSet>
      <sheetData sheetId="0" refreshError="1"/>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URA-C1"/>
      <sheetName val="URA-R1-SFDC"/>
      <sheetName val="1st anayl."/>
      <sheetName val="URA-C2"/>
      <sheetName val="R1"/>
      <sheetName val="ovhd"/>
      <sheetName val="URA-R1"/>
      <sheetName val="1st_anayl_"/>
    </sheetNames>
    <sheetDataSet>
      <sheetData sheetId="0"/>
      <sheetData sheetId="1"/>
      <sheetData sheetId="2" refreshError="1"/>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ULD.1"/>
      <sheetName val="BULD.2"/>
      <sheetName val="BULD.3"/>
      <sheetName val="BULD.4"/>
      <sheetName val="fence"/>
    </sheetNames>
    <sheetDataSet>
      <sheetData sheetId="0" refreshError="1"/>
      <sheetData sheetId="1" refreshError="1"/>
      <sheetData sheetId="2" refreshError="1"/>
      <sheetData sheetId="3" refreshError="1">
        <row r="11">
          <cell r="A11" t="str">
            <v>3.1.1</v>
          </cell>
          <cell r="B11" t="str">
            <v xml:space="preserve">Staff Accom.Spread Footings Blinding Concrete 100mm thk.  </v>
          </cell>
        </row>
        <row r="13">
          <cell r="A13" t="str">
            <v>3.1.2</v>
          </cell>
          <cell r="B13" t="str">
            <v>Staff Accomodation Blinding Concrete of Ground Beams, thickness of  50 millimeters</v>
          </cell>
        </row>
        <row r="19">
          <cell r="A19" t="str">
            <v>3.2.1</v>
          </cell>
          <cell r="B19" t="str">
            <v>Reinforced Concrete Spread Footings</v>
          </cell>
        </row>
        <row r="27">
          <cell r="A27" t="str">
            <v>3.2.5</v>
          </cell>
          <cell r="B27" t="str">
            <v>Reinforced Concrete for Retaining Walls 200mm Thk. WithVl. Bars T14@150 &amp; T12@150 Hl. Bars RFT.</v>
          </cell>
        </row>
        <row r="31">
          <cell r="A31" t="str">
            <v>Sub Total for Devision 3 - Concrete Works</v>
          </cell>
        </row>
        <row r="34">
          <cell r="A34" t="str">
            <v>3.3.1</v>
          </cell>
          <cell r="B34" t="str">
            <v xml:space="preserve">Reinforced Concrete Columns @ Ground Floor </v>
          </cell>
        </row>
        <row r="38">
          <cell r="A38" t="str">
            <v>3.3.3</v>
          </cell>
          <cell r="B38" t="str">
            <v>Reinforced Concrete Solid Slab @First Floor Framing</v>
          </cell>
        </row>
        <row r="42">
          <cell r="A42" t="str">
            <v>3.3.5</v>
          </cell>
          <cell r="B42" t="str">
            <v>Reinforced Concrete Hollow Block Slab 280mm thick reinforced asper plan  @First Floor Framing</v>
          </cell>
        </row>
        <row r="76">
          <cell r="A76" t="str">
            <v>3.3.24</v>
          </cell>
          <cell r="B76" t="str">
            <v>Reinforced Concrete Solid Slab @Upper Roof  Framing</v>
          </cell>
        </row>
      </sheetData>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V2-EARTHWORKS"/>
      <sheetName val="DIV7-INSULATION"/>
      <sheetName val="DIV3-CONCRETE"/>
      <sheetName val="PROJ. DATA"/>
      <sheetName val="P.C.FOOTING"/>
      <sheetName val="R.C.FOOTING "/>
      <sheetName val="S.O.GRAD  "/>
      <sheetName val="ground beams"/>
      <sheetName val="drop beams  "/>
      <sheetName val="Columns"/>
      <sheetName val="Solid slab"/>
      <sheetName val="stairs "/>
      <sheetName val="EARTH WORK"/>
      <sheetName val="TANK WALL"/>
      <sheetName val="TANK(BASE&amp;TOP)R.C "/>
      <sheetName val="TANK(P.C FOOTING)"/>
      <sheetName val="SWIMMING POOL"/>
      <sheetName val="SWIMMING POOL(R.C FOOTING)  "/>
      <sheetName val="SWIMMING POOL(P.C FOOTING) "/>
      <sheetName val="PROJ__DATA"/>
      <sheetName val="P_C_FOOTING"/>
      <sheetName val="R_C_FOOTING_"/>
      <sheetName val="S_O_GRAD__"/>
      <sheetName val="ground_beams"/>
      <sheetName val="drop_beams__"/>
      <sheetName val="Solid_slab"/>
      <sheetName val="stairs_"/>
      <sheetName val="EARTH_WORK"/>
      <sheetName val="TANK_WALL"/>
      <sheetName val="TANK(BASE&amp;TOP)R_C_"/>
      <sheetName val="TANK(P_C_FOOTING)"/>
      <sheetName val="SWIMMING_POOL"/>
      <sheetName val="SWIMMING_POOL(R_C_FOOTING)__"/>
      <sheetName val="SWIMMING_POOL(P_C_FOOTING)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ULD.1"/>
      <sheetName val="BULD.2"/>
      <sheetName val="BULD.3"/>
      <sheetName val="BULD.4"/>
      <sheetName val="fence"/>
    </sheetNames>
    <sheetDataSet>
      <sheetData sheetId="0" refreshError="1"/>
      <sheetData sheetId="1" refreshError="1"/>
      <sheetData sheetId="2" refreshError="1"/>
      <sheetData sheetId="3" refreshError="1">
        <row r="11">
          <cell r="A11" t="str">
            <v>3.1.1</v>
          </cell>
          <cell r="B11" t="str">
            <v xml:space="preserve">Staff Accom.Spread Footings Blinding Concrete 100mm thk.  </v>
          </cell>
        </row>
        <row r="13">
          <cell r="A13" t="str">
            <v>3.1.2</v>
          </cell>
          <cell r="B13" t="str">
            <v>Staff Accomodation Blinding Concrete of Ground Beams, thickness of  50 millimeters</v>
          </cell>
        </row>
        <row r="19">
          <cell r="A19" t="str">
            <v>3.2.1</v>
          </cell>
          <cell r="B19" t="str">
            <v>Reinforced Concrete Spread Footings</v>
          </cell>
        </row>
        <row r="21">
          <cell r="A21" t="str">
            <v>3.2.2</v>
          </cell>
        </row>
        <row r="23">
          <cell r="A23" t="str">
            <v>3.2.3</v>
          </cell>
          <cell r="B23" t="str">
            <v>Reinforced Concrete Ground Beams</v>
          </cell>
        </row>
        <row r="25">
          <cell r="A25" t="str">
            <v>3.2.4</v>
          </cell>
          <cell r="B25" t="str">
            <v>Reinforced Concrete Slab on Grade including thickening, 150mm thick reinforced with one layer of welded wiremesh 10mm E at 200mm center to center spacing both ways</v>
          </cell>
        </row>
        <row r="27">
          <cell r="A27" t="str">
            <v>3.2.5</v>
          </cell>
          <cell r="B27" t="str">
            <v>Reinforced Concrete for Retaining Walls 200mm Thk. WithVl. Bars T14@150 &amp; T12@150 Hl. Bars RFT.</v>
          </cell>
        </row>
        <row r="31">
          <cell r="A31" t="str">
            <v>Sub Total for Devision 3 - Concrete Works</v>
          </cell>
        </row>
        <row r="34">
          <cell r="A34" t="str">
            <v>3.3.1</v>
          </cell>
          <cell r="B34" t="str">
            <v xml:space="preserve">Reinforced Concrete Columns @ Ground Floor </v>
          </cell>
        </row>
        <row r="38">
          <cell r="A38" t="str">
            <v>3.3.3</v>
          </cell>
          <cell r="B38" t="str">
            <v>Reinforced Concrete Solid Slab @First Floor Framing</v>
          </cell>
        </row>
        <row r="40">
          <cell r="A40" t="str">
            <v>3.3.4</v>
          </cell>
          <cell r="B40" t="str">
            <v>Reinforced Concrete Drop Beams @ First Floor Framing</v>
          </cell>
        </row>
        <row r="42">
          <cell r="A42" t="str">
            <v>3.3.5</v>
          </cell>
          <cell r="B42" t="str">
            <v>Reinforced Concrete Hollow Block Slab 280mm thick reinforced asper plan  @First Floor Framing</v>
          </cell>
        </row>
        <row r="44">
          <cell r="A44" t="str">
            <v>3.3.6</v>
          </cell>
          <cell r="B44" t="str">
            <v xml:space="preserve">Reinforced Concrete Columns @ First Floor </v>
          </cell>
        </row>
        <row r="48">
          <cell r="A48" t="str">
            <v>3.3.8</v>
          </cell>
          <cell r="B48" t="str">
            <v xml:space="preserve">Reinforced Concrete Columns @Second Floor </v>
          </cell>
        </row>
        <row r="50">
          <cell r="A50" t="str">
            <v>3.3.9</v>
          </cell>
          <cell r="B50" t="str">
            <v>Reinforced Concrete Hollow Block Slab 280mm thick reinforced asper plan  @Second Floor Framing</v>
          </cell>
        </row>
        <row r="52">
          <cell r="A52" t="str">
            <v>3.3.10</v>
          </cell>
          <cell r="B52" t="str">
            <v>Reinforced Concrete Solid Slab @Second Floor Framing</v>
          </cell>
        </row>
        <row r="54">
          <cell r="A54" t="str">
            <v>3.3.11</v>
          </cell>
          <cell r="B54" t="str">
            <v>Reinforced Concrete Drop Beams @ Second Floor Framing</v>
          </cell>
        </row>
        <row r="58">
          <cell r="A58" t="str">
            <v>3.3.13</v>
          </cell>
          <cell r="B58" t="str">
            <v xml:space="preserve">Reinforced Concrete Columns @Third Floor </v>
          </cell>
        </row>
        <row r="60">
          <cell r="A60" t="str">
            <v>3.3.14</v>
          </cell>
          <cell r="B60" t="str">
            <v>Reinforced Concrete Drop Beams @ Third Floor Framing</v>
          </cell>
        </row>
        <row r="62">
          <cell r="A62" t="str">
            <v>3.3.15</v>
          </cell>
          <cell r="B62" t="str">
            <v>Reinforced Concrete Solid Slab @Third Floor Framing</v>
          </cell>
        </row>
        <row r="64">
          <cell r="A64" t="str">
            <v>3.3.16</v>
          </cell>
          <cell r="B64" t="str">
            <v>Reinforced Concrete Hollow Block Slab 280mm thick reinforced asper plan  @Third Floor Framing</v>
          </cell>
        </row>
        <row r="67">
          <cell r="A67" t="str">
            <v>3.3.17</v>
          </cell>
          <cell r="B67" t="str">
            <v xml:space="preserve">Reinforced Concrete Columns @ Roof Deck Floor </v>
          </cell>
        </row>
        <row r="69">
          <cell r="A69" t="str">
            <v>3.3.18</v>
          </cell>
          <cell r="B69" t="str">
            <v>Reinforced Concrete Drop Beams @ Roof Deck Floor Framing</v>
          </cell>
        </row>
        <row r="71">
          <cell r="A71" t="str">
            <v>3.3.22</v>
          </cell>
          <cell r="B71" t="str">
            <v>Reinforced Concrete Hollow Block Slab 280mm thick reinforced asper plan  @Roof Deck Floor Framing</v>
          </cell>
        </row>
        <row r="74">
          <cell r="A74" t="str">
            <v>3.3.23</v>
          </cell>
          <cell r="B74" t="str">
            <v>Reinforced Concrete Drop Beams @ Upper Roof Deck Floor Framing</v>
          </cell>
        </row>
        <row r="76">
          <cell r="A76" t="str">
            <v>3.3.24</v>
          </cell>
          <cell r="B76" t="str">
            <v>Reinforced Concrete Solid Slab @Upper Roof  Framing</v>
          </cell>
        </row>
      </sheetData>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RA"/>
      <sheetName val="BID"/>
      <sheetName val="직접비_Origin(315,430)"/>
      <sheetName val="Sheet1"/>
      <sheetName val="Sheet2"/>
      <sheetName val="Sheet3"/>
      <sheetName val="Raw Data"/>
      <sheetName val="GRSummary"/>
    </sheetNames>
    <sheetDataSet>
      <sheetData sheetId="0"/>
      <sheetData sheetId="1" refreshError="1"/>
      <sheetData sheetId="2" refreshError="1"/>
      <sheetData sheetId="3"/>
      <sheetData sheetId="4"/>
      <sheetData sheetId="5"/>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
    </sheetNames>
    <sheetDataSet>
      <sheetData sheetId="0">
        <row r="2">
          <cell r="A2" t="str">
            <v>INTERNATIONAL HOSPITALS CONSTRUCTION COMPANY LTD.</v>
          </cell>
        </row>
        <row r="8">
          <cell r="A8" t="str">
            <v>Cost  Code</v>
          </cell>
          <cell r="B8" t="str">
            <v>Description</v>
          </cell>
          <cell r="C8" t="str">
            <v>Unit</v>
          </cell>
          <cell r="D8" t="str">
            <v>Quantities</v>
          </cell>
          <cell r="G8" t="str">
            <v>Material</v>
          </cell>
          <cell r="I8" t="str">
            <v>Labour</v>
          </cell>
          <cell r="K8" t="str">
            <v>Sub-Contractor</v>
          </cell>
          <cell r="M8" t="str">
            <v>Equipment</v>
          </cell>
          <cell r="O8" t="str">
            <v>Amount
( SR )</v>
          </cell>
        </row>
        <row r="9">
          <cell r="D9" t="str">
            <v>Previous</v>
          </cell>
          <cell r="E9" t="str">
            <v>Present</v>
          </cell>
          <cell r="F9" t="str">
            <v>Cumulative</v>
          </cell>
          <cell r="G9" t="str">
            <v>Rate
(SR)</v>
          </cell>
          <cell r="H9" t="str">
            <v>Amount
(SR)</v>
          </cell>
          <cell r="I9" t="str">
            <v>Rate
(SR)</v>
          </cell>
          <cell r="J9" t="str">
            <v>Amount
(SR)</v>
          </cell>
          <cell r="K9" t="str">
            <v>Rate
(SR)</v>
          </cell>
          <cell r="L9" t="str">
            <v>Amount
(SR)</v>
          </cell>
          <cell r="M9" t="str">
            <v>Rate
(SR)</v>
          </cell>
          <cell r="N9" t="str">
            <v>Amount
(SR)</v>
          </cell>
        </row>
        <row r="11">
          <cell r="A11" t="str">
            <v>01-01-070</v>
          </cell>
          <cell r="B11" t="str">
            <v>Dismantling.</v>
          </cell>
        </row>
        <row r="12">
          <cell r="A12">
            <v>1</v>
          </cell>
          <cell r="B12" t="str">
            <v>Supervisor.</v>
          </cell>
          <cell r="C12" t="str">
            <v>Day</v>
          </cell>
          <cell r="D12">
            <v>0</v>
          </cell>
          <cell r="E12">
            <v>5</v>
          </cell>
          <cell r="F12">
            <v>5</v>
          </cell>
          <cell r="G12">
            <v>0</v>
          </cell>
          <cell r="H12">
            <v>0</v>
          </cell>
          <cell r="I12">
            <v>180</v>
          </cell>
          <cell r="J12">
            <v>900</v>
          </cell>
          <cell r="K12">
            <v>0</v>
          </cell>
          <cell r="L12">
            <v>0</v>
          </cell>
          <cell r="M12">
            <v>0</v>
          </cell>
          <cell r="N12">
            <v>0</v>
          </cell>
          <cell r="O12">
            <v>900</v>
          </cell>
        </row>
        <row r="13">
          <cell r="A13">
            <v>2</v>
          </cell>
          <cell r="B13" t="str">
            <v>Mason.</v>
          </cell>
          <cell r="C13" t="str">
            <v>Day</v>
          </cell>
          <cell r="D13">
            <v>0</v>
          </cell>
          <cell r="E13">
            <v>25</v>
          </cell>
          <cell r="F13">
            <v>25</v>
          </cell>
          <cell r="G13">
            <v>0</v>
          </cell>
          <cell r="H13">
            <v>0</v>
          </cell>
          <cell r="I13">
            <v>80</v>
          </cell>
          <cell r="J13">
            <v>2000</v>
          </cell>
          <cell r="K13">
            <v>0</v>
          </cell>
          <cell r="L13">
            <v>0</v>
          </cell>
          <cell r="M13">
            <v>0</v>
          </cell>
          <cell r="N13">
            <v>0</v>
          </cell>
          <cell r="O13">
            <v>2000</v>
          </cell>
        </row>
        <row r="14">
          <cell r="A14">
            <v>3</v>
          </cell>
          <cell r="B14" t="str">
            <v>Labor.</v>
          </cell>
          <cell r="C14" t="str">
            <v>Day</v>
          </cell>
          <cell r="D14">
            <v>0</v>
          </cell>
          <cell r="E14">
            <v>10</v>
          </cell>
          <cell r="F14">
            <v>10</v>
          </cell>
          <cell r="G14">
            <v>0</v>
          </cell>
          <cell r="H14">
            <v>0</v>
          </cell>
          <cell r="I14">
            <v>130</v>
          </cell>
          <cell r="J14">
            <v>1300</v>
          </cell>
          <cell r="K14">
            <v>0</v>
          </cell>
          <cell r="L14">
            <v>0</v>
          </cell>
          <cell r="M14">
            <v>0</v>
          </cell>
          <cell r="N14">
            <v>0</v>
          </cell>
          <cell r="O14">
            <v>1300</v>
          </cell>
        </row>
        <row r="16">
          <cell r="A16" t="str">
            <v>SUB TOTAL ( SR ) :</v>
          </cell>
          <cell r="H16">
            <v>0</v>
          </cell>
          <cell r="J16">
            <v>4200</v>
          </cell>
          <cell r="L16">
            <v>0</v>
          </cell>
          <cell r="N16">
            <v>0</v>
          </cell>
          <cell r="O16">
            <v>4200</v>
          </cell>
        </row>
        <row r="17">
          <cell r="A17" t="str">
            <v>01-05-010</v>
          </cell>
          <cell r="B17" t="str">
            <v>200mm Thick Block Walls.</v>
          </cell>
        </row>
        <row r="18">
          <cell r="A18">
            <v>1</v>
          </cell>
          <cell r="B18" t="str">
            <v>400x200x200mmBlock.</v>
          </cell>
          <cell r="C18" t="str">
            <v>No</v>
          </cell>
          <cell r="D18">
            <v>0</v>
          </cell>
          <cell r="E18">
            <v>1000</v>
          </cell>
          <cell r="F18">
            <v>1000</v>
          </cell>
          <cell r="G18">
            <v>2.4</v>
          </cell>
          <cell r="H18">
            <v>2400</v>
          </cell>
          <cell r="J18">
            <v>0</v>
          </cell>
          <cell r="L18">
            <v>0</v>
          </cell>
          <cell r="N18">
            <v>0</v>
          </cell>
          <cell r="O18">
            <v>2400</v>
          </cell>
        </row>
        <row r="19">
          <cell r="A19">
            <v>2</v>
          </cell>
          <cell r="B19" t="str">
            <v>Cement.</v>
          </cell>
          <cell r="C19" t="str">
            <v>Bag</v>
          </cell>
          <cell r="D19">
            <v>0</v>
          </cell>
          <cell r="E19">
            <v>25</v>
          </cell>
          <cell r="F19">
            <v>25</v>
          </cell>
          <cell r="G19">
            <v>22</v>
          </cell>
          <cell r="H19">
            <v>550</v>
          </cell>
          <cell r="J19">
            <v>0</v>
          </cell>
          <cell r="L19">
            <v>0</v>
          </cell>
          <cell r="N19">
            <v>0</v>
          </cell>
          <cell r="O19">
            <v>550</v>
          </cell>
        </row>
        <row r="20">
          <cell r="A20">
            <v>3</v>
          </cell>
          <cell r="B20" t="str">
            <v>Sand.</v>
          </cell>
          <cell r="C20" t="str">
            <v>M³</v>
          </cell>
          <cell r="D20">
            <v>0</v>
          </cell>
          <cell r="E20">
            <v>0</v>
          </cell>
          <cell r="F20">
            <v>0</v>
          </cell>
          <cell r="G20">
            <v>0</v>
          </cell>
          <cell r="H20">
            <v>0</v>
          </cell>
          <cell r="J20">
            <v>0</v>
          </cell>
          <cell r="L20">
            <v>0</v>
          </cell>
          <cell r="N20">
            <v>0</v>
          </cell>
          <cell r="O20">
            <v>0</v>
          </cell>
        </row>
        <row r="21">
          <cell r="A21">
            <v>4</v>
          </cell>
          <cell r="B21" t="str">
            <v>Supervisor.</v>
          </cell>
          <cell r="C21" t="str">
            <v>Day</v>
          </cell>
          <cell r="D21">
            <v>0</v>
          </cell>
          <cell r="E21">
            <v>5</v>
          </cell>
          <cell r="F21">
            <v>5</v>
          </cell>
          <cell r="G21">
            <v>0</v>
          </cell>
          <cell r="H21">
            <v>0</v>
          </cell>
          <cell r="I21">
            <v>180</v>
          </cell>
          <cell r="J21">
            <v>900</v>
          </cell>
          <cell r="K21">
            <v>0</v>
          </cell>
          <cell r="L21">
            <v>0</v>
          </cell>
          <cell r="M21">
            <v>0</v>
          </cell>
          <cell r="N21">
            <v>0</v>
          </cell>
          <cell r="O21">
            <v>900</v>
          </cell>
        </row>
        <row r="22">
          <cell r="A22">
            <v>5</v>
          </cell>
          <cell r="B22" t="str">
            <v>Mason.</v>
          </cell>
          <cell r="C22" t="str">
            <v>Day</v>
          </cell>
          <cell r="D22">
            <v>0</v>
          </cell>
          <cell r="E22">
            <v>5</v>
          </cell>
          <cell r="F22">
            <v>5</v>
          </cell>
          <cell r="G22">
            <v>0</v>
          </cell>
          <cell r="H22">
            <v>0</v>
          </cell>
          <cell r="I22">
            <v>130</v>
          </cell>
          <cell r="J22">
            <v>650</v>
          </cell>
          <cell r="L22">
            <v>0</v>
          </cell>
          <cell r="N22">
            <v>0</v>
          </cell>
          <cell r="O22">
            <v>650</v>
          </cell>
        </row>
        <row r="23">
          <cell r="A23">
            <v>6</v>
          </cell>
          <cell r="B23" t="str">
            <v>Labor.</v>
          </cell>
          <cell r="C23" t="str">
            <v>Day</v>
          </cell>
          <cell r="D23">
            <v>0</v>
          </cell>
          <cell r="E23">
            <v>10</v>
          </cell>
          <cell r="F23">
            <v>10</v>
          </cell>
          <cell r="G23">
            <v>0</v>
          </cell>
          <cell r="H23">
            <v>0</v>
          </cell>
          <cell r="I23">
            <v>100</v>
          </cell>
          <cell r="J23">
            <v>1000</v>
          </cell>
          <cell r="L23">
            <v>0</v>
          </cell>
          <cell r="N23">
            <v>0</v>
          </cell>
          <cell r="O23">
            <v>1000</v>
          </cell>
        </row>
        <row r="25">
          <cell r="A25" t="str">
            <v>01-05-040</v>
          </cell>
          <cell r="B25" t="str">
            <v>150mm Thick Dry Walls.</v>
          </cell>
        </row>
        <row r="26">
          <cell r="A26">
            <v>1</v>
          </cell>
          <cell r="B26" t="str">
            <v>Gypsum Dry Wall.</v>
          </cell>
          <cell r="C26" t="str">
            <v>M³</v>
          </cell>
          <cell r="D26">
            <v>0</v>
          </cell>
          <cell r="E26">
            <v>1123</v>
          </cell>
          <cell r="F26">
            <v>1123</v>
          </cell>
          <cell r="G26">
            <v>140.76</v>
          </cell>
          <cell r="H26">
            <v>158073.48000000001</v>
          </cell>
          <cell r="J26">
            <v>0</v>
          </cell>
          <cell r="L26">
            <v>0</v>
          </cell>
          <cell r="N26">
            <v>0</v>
          </cell>
          <cell r="O26">
            <v>158073.48000000001</v>
          </cell>
        </row>
        <row r="27">
          <cell r="A27">
            <v>2</v>
          </cell>
          <cell r="B27" t="str">
            <v>Tools / Cleaning &amp; Others.</v>
          </cell>
          <cell r="C27" t="str">
            <v>LS</v>
          </cell>
          <cell r="D27">
            <v>0</v>
          </cell>
          <cell r="E27">
            <v>1</v>
          </cell>
          <cell r="F27">
            <v>1</v>
          </cell>
          <cell r="H27">
            <v>0</v>
          </cell>
          <cell r="I27">
            <v>500</v>
          </cell>
          <cell r="J27">
            <v>500</v>
          </cell>
          <cell r="L27">
            <v>0</v>
          </cell>
          <cell r="N27">
            <v>0</v>
          </cell>
          <cell r="O27">
            <v>500</v>
          </cell>
        </row>
        <row r="29">
          <cell r="A29" t="str">
            <v>SUB TOTAL ( SR ) :</v>
          </cell>
          <cell r="H29">
            <v>161023.48000000001</v>
          </cell>
          <cell r="J29">
            <v>3050</v>
          </cell>
          <cell r="L29">
            <v>0</v>
          </cell>
          <cell r="N29">
            <v>0</v>
          </cell>
          <cell r="O29">
            <v>164073.48000000001</v>
          </cell>
        </row>
        <row r="36">
          <cell r="A36" t="str">
            <v>01-17-000</v>
          </cell>
          <cell r="B36" t="str">
            <v>Flooring Works.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V2-EARTHWORKS"/>
      <sheetName val="DIV7-INSULATION"/>
      <sheetName val="DIV3-CONCRETE"/>
      <sheetName val=" Beams Sched "/>
      <sheetName val="COL SCH."/>
      <sheetName val="ground beams"/>
      <sheetName val="FOOTING SCH. "/>
      <sheetName val="PROJ. DATA"/>
      <sheetName val="P.C.FOOTING"/>
      <sheetName val="R.C.FOOTING "/>
      <sheetName val="S.O.GRAD  "/>
      <sheetName val="drop beams  "/>
      <sheetName val="Columns"/>
      <sheetName val="Solid slab"/>
      <sheetName val="stairs "/>
      <sheetName val="EARTH WORK"/>
      <sheetName val="SWIMMING POOL"/>
      <sheetName val="SWIMMING POOL(R.C FOOTING)  "/>
      <sheetName val="SWIMMING POOL(P.C FOOTING) "/>
      <sheetName val="_Beams_Sched_"/>
      <sheetName val="COL_SCH_"/>
      <sheetName val="ground_beams"/>
      <sheetName val="FOOTING_SCH__"/>
      <sheetName val="PROJ__DATA"/>
      <sheetName val="P_C_FOOTING"/>
      <sheetName val="R_C_FOOTING_"/>
      <sheetName val="S_O_GRAD__"/>
      <sheetName val="drop_beams__"/>
      <sheetName val="Solid_slab"/>
      <sheetName val="stairs_"/>
      <sheetName val="EARTH_WORK"/>
      <sheetName val="SWIMMING_POOL"/>
      <sheetName val="SWIMMING_POOL(R_C_FOOTING)__"/>
      <sheetName val="SWIMMING_POOL(P_C_FOOTING)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Sum-BatterG"/>
      <sheetName val="Sum-Full "/>
      <sheetName val="Area"/>
      <sheetName val="Mech-Plm"/>
      <sheetName val="Elect-Lift"/>
      <sheetName val="Sum-FE"/>
      <sheetName val="Furn"/>
      <sheetName val="Equip"/>
      <sheetName val="Sum-mADINAH"/>
      <sheetName val="Sheet1"/>
      <sheetName val="Sum-Full_"/>
    </sheetNames>
    <sheetDataSet>
      <sheetData sheetId="0"/>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C PIPES ANALYSIS"/>
      <sheetName val="INSURANCE-NICL"/>
      <sheetName val="Masonry Works"/>
      <sheetName val="KACHHI MATERIALS"/>
      <sheetName val="Rent of Machine"/>
      <sheetName val="EARTH WORK &amp; ROAD BPASS"/>
      <sheetName val="MS- G.I PiPEs"/>
      <sheetName val="BOQ KACHHI"/>
      <sheetName val="In-direct cost"/>
      <sheetName val="Sheet1"/>
      <sheetName val="공사수행방안"/>
      <sheetName val="buld.3"/>
    </sheetNames>
    <sheetDataSet>
      <sheetData sheetId="0"/>
      <sheetData sheetId="1"/>
      <sheetData sheetId="2"/>
      <sheetData sheetId="3"/>
      <sheetData sheetId="4"/>
      <sheetData sheetId="5"/>
      <sheetData sheetId="6"/>
      <sheetData sheetId="7" refreshError="1">
        <row r="4">
          <cell r="H4">
            <v>0.1751352251774892</v>
          </cell>
        </row>
      </sheetData>
      <sheetData sheetId="8"/>
      <sheetData sheetId="9"/>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TING"/>
      <sheetName val="ground beams"/>
    </sheetNames>
    <sheetDataSet>
      <sheetData sheetId="0">
        <row r="8">
          <cell r="A8">
            <v>0</v>
          </cell>
        </row>
      </sheetData>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TND-MATERIAL COST "/>
      <sheetName val="MATERIALS - RATES  (2)"/>
      <sheetName val="MATERIALS - RATES "/>
      <sheetName val="BOQ"/>
      <sheetName val="EARTH WORK &amp; ROAD"/>
      <sheetName val="BOQ_(2)"/>
      <sheetName val="STND-MATERIAL_COST_"/>
      <sheetName val="MATERIALS_-_RATES__(2)"/>
      <sheetName val="MATERIALS_-_RATES_"/>
      <sheetName val="EARTH_WORK_&amp;_ROAD"/>
    </sheetNames>
    <sheetDataSet>
      <sheetData sheetId="0" refreshError="1"/>
      <sheetData sheetId="1" refreshError="1"/>
      <sheetData sheetId="2" refreshError="1"/>
      <sheetData sheetId="3"/>
      <sheetData sheetId="4" refreshError="1"/>
      <sheetData sheetId="5" refreshError="1"/>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41198F-3B31-4DC4-9E9C-AD78AF1EDB05}" name="Table1" displayName="Table1" ref="A3:R88" totalsRowShown="0" headerRowDxfId="83">
  <autoFilter ref="A3:R88" xr:uid="{BB41198F-3B31-4DC4-9E9C-AD78AF1EDB05}"/>
  <tableColumns count="18">
    <tableColumn id="1" xr3:uid="{55865100-1243-432B-AF8F-DE0401765A1C}" name="Item No." dataDxfId="82" dataCellStyle="Normal 2 2 2 2"/>
    <tableColumn id="2" xr3:uid="{D1EAD32B-1898-4031-8D61-C7F630A7E531}" name="Description" dataDxfId="81" dataCellStyle="Normal 2 2 2 2"/>
    <tableColumn id="3" xr3:uid="{9B13E50B-DF17-437B-AD47-E680892003ED}" name="Unit" dataDxfId="80" dataCellStyle="Normal 2 2 2 2"/>
    <tableColumn id="4" xr3:uid="{873948A0-F7F5-4EB9-A328-A7DF1D2A2E8D}" name="Qty" dataDxfId="79" dataCellStyle="Normal 2 2 2 2"/>
    <tableColumn id="5" xr3:uid="{C0CC5A27-CAAA-4299-B958-BF9FE9873785}" name="Unit Rate" dataDxfId="78" dataCellStyle="Normal 2 2 2 2">
      <calculatedColumnFormula>ROUNDUP(H4*$J$2,0)</calculatedColumnFormula>
    </tableColumn>
    <tableColumn id="6" xr3:uid="{5BE6E68F-080A-4DBB-A2A3-A725C76C6148}" name="Amount" dataDxfId="77" dataCellStyle="Normal 2 2 2 2">
      <calculatedColumnFormula>D4*E4</calculatedColumnFormula>
    </tableColumn>
    <tableColumn id="7" xr3:uid="{49662D21-19F0-4D69-A944-EC89C16A5D77}" name="العام" dataDxfId="76"/>
    <tableColumn id="8" xr3:uid="{1FDEF55A-B452-4792-8780-2D2EB7B55A4D}" name="Best" dataDxfId="75"/>
    <tableColumn id="9" xr3:uid="{DEC59B34-369A-4CC7-A0EE-8E40DD44FA65}" name="Supplier" dataDxfId="74"/>
    <tableColumn id="10" xr3:uid="{722D5D64-EFF4-4F0A-AB15-5D4879017AF0}" name="O&amp;P%" dataDxfId="73"/>
    <tableColumn id="11" xr3:uid="{200748E0-9D50-4212-8549-4FB5A079F725}" name="Dry (O)" dataDxfId="72"/>
    <tableColumn id="12" xr3:uid="{25A5FFB1-3961-41DD-81FD-057B0CD06DBD}" name="OUTLET_x000a_(P)مخرج الكهربا " dataDxfId="71"/>
    <tableColumn id="13" xr3:uid="{E0E34B07-89AF-43EE-85C0-6B5802C87C12}" name="Supply_x000a_(Q)" dataDxfId="70"/>
    <tableColumn id="14" xr3:uid="{58B34414-E01A-4B7A-B102-136F1CA93160}" name="Wastage_x000a_(R)" dataDxfId="69"/>
    <tableColumn id="15" xr3:uid="{9CA90882-364D-4294-B867-38077BD64501}" name="Install_x000a_(S)" dataDxfId="68"/>
    <tableColumn id="16" xr3:uid="{055CB889-5193-4BF7-AD88-9AA53962AC53}" name="Access_x000a_(T)" dataDxfId="67"/>
    <tableColumn id="17" xr3:uid="{51CA87B5-F3EE-4D86-9539-1DC55AD3D386}" name="ملاحظات" dataDxfId="66"/>
    <tableColumn id="18" xr3:uid="{36B7FB0C-1913-4A0D-82C3-B6EDC3B0347F}" name="الموردون" dataDxfId="6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44D9DFB-8FCE-4F6F-856E-D6E335F66201}" name="Table9" displayName="Table9" ref="A3:R115" totalsRowShown="0" headerRowDxfId="64" dataDxfId="63" dataCellStyle="Normal - Style1 2">
  <autoFilter ref="A3:R115" xr:uid="{744D9DFB-8FCE-4F6F-856E-D6E335F66201}"/>
  <tableColumns count="18">
    <tableColumn id="1" xr3:uid="{94A99660-A6DC-4491-BF99-12BD3E4F942D}" name="Item No." dataDxfId="62" dataCellStyle="Normal 10"/>
    <tableColumn id="2" xr3:uid="{F3CC45CB-6011-42FA-B35F-348FBDD37E7E}" name="Description"/>
    <tableColumn id="3" xr3:uid="{E6F55FFF-F15E-43AF-A6A4-316034B098A0}" name="Unit" dataDxfId="61" dataCellStyle="Normal 2 2"/>
    <tableColumn id="4" xr3:uid="{012EC5B3-A15F-41D0-8528-1B17C946FAFB}" name="Qty" dataDxfId="60" dataCellStyle="Normal - Style1 2"/>
    <tableColumn id="5" xr3:uid="{61EDDE05-7FCB-47FF-B92A-63FCBE9179ED}" name="Unit Price_x000a_ (SR)" dataDxfId="59" dataCellStyle="Comma 12 2"/>
    <tableColumn id="6" xr3:uid="{2DFC5CEE-F7FF-4400-83D0-B883F453E89A}" name="Amount _x000a_ ( SR )" dataDxfId="58" dataCellStyle="Normal 2 2"/>
    <tableColumn id="7" xr3:uid="{567F6018-CD50-4423-9EC1-4C04EB66757E}" name="العام" dataDxfId="57" dataCellStyle="Normal - Style1 2"/>
    <tableColumn id="8" xr3:uid="{415CA22C-F280-4977-8AB2-5675EB6600A9}" name="Best" dataDxfId="56" dataCellStyle="Normal - Style1 2"/>
    <tableColumn id="9" xr3:uid="{00D29C36-3FEF-47F0-B165-FBD60413C085}" name="Supplier" dataDxfId="55" dataCellStyle="Normal - Style1 2"/>
    <tableColumn id="10" xr3:uid="{B9FE1D40-3DDE-4727-A65D-D789EE3F2194}" name="O&amp;P%" dataDxfId="54" dataCellStyle="Normal - Style1 2"/>
    <tableColumn id="11" xr3:uid="{09AD1197-3B6C-45B7-941D-5A4FA21A3388}" name="Dry (O)" dataDxfId="53" dataCellStyle="Normal - Style1 2"/>
    <tableColumn id="12" xr3:uid="{246FDD5C-4B2B-461D-959C-6DC40AFCC6D3}" name="OUTLET_x000a_(P)" dataDxfId="52" dataCellStyle="Normal - Style1 2"/>
    <tableColumn id="13" xr3:uid="{EB9880E6-BFB4-4452-87A4-D7E3DFFE1F0C}" name="Supply_x000a_(Q)" dataDxfId="51" dataCellStyle="Normal - Style1 2"/>
    <tableColumn id="14" xr3:uid="{F640CFCA-FC00-4989-95E2-6017F97F5AD4}" name="Wastage_x000a_(R)" dataDxfId="50" dataCellStyle="Normal - Style1 2"/>
    <tableColumn id="15" xr3:uid="{6C8BC4F6-37A2-4C43-B99E-59250D2743DD}" name="Install_x000a_(S)" dataDxfId="49" dataCellStyle="Normal - Style1 2"/>
    <tableColumn id="16" xr3:uid="{995D541B-D055-4CE5-AE7B-D335D3BD98F8}" name="Access_x000a_(T)" dataDxfId="48" dataCellStyle="Normal - Style1 2"/>
    <tableColumn id="17" xr3:uid="{08C62297-96D1-49F5-BA6F-4DE119D2F4B0}" name="ملاحظات" dataDxfId="47" dataCellStyle="Normal - Style1 2"/>
    <tableColumn id="18" xr3:uid="{1F9C9296-04BA-4028-9E71-23DF5B65CF5D}" name="الموردون" dataDxfId="46" dataCellStyle="Normal - Style1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97B236-B856-45B7-A6EB-9A9AE7E68A4F}" name="Table93" displayName="Table93" ref="A3:R124" totalsRowShown="0" headerRowDxfId="102" dataDxfId="101" dataCellStyle="Normal - Style1 2">
  <autoFilter ref="A3:R124" xr:uid="{744D9DFB-8FCE-4F6F-856E-D6E335F66201}"/>
  <tableColumns count="18">
    <tableColumn id="1" xr3:uid="{49A93FFC-CFDB-42BD-8872-170D3DAB1DC0}" name="Item No." dataDxfId="100" dataCellStyle="Normal 10"/>
    <tableColumn id="2" xr3:uid="{86FB3FD8-9313-44B2-A347-A70F36EFC4AE}" name="Description"/>
    <tableColumn id="3" xr3:uid="{2046537D-2C8D-4AC5-BC39-143D72E0AA40}" name="Unit" dataDxfId="99" dataCellStyle="Normal 2 2"/>
    <tableColumn id="4" xr3:uid="{845660C9-93ED-4616-B64E-80AB8B178796}" name="Qty" dataDxfId="98" dataCellStyle="Normal - Style1 2"/>
    <tableColumn id="5" xr3:uid="{918E0A21-3C62-433C-B968-61093CFE1935}" name="Unit Price_x000a_ (SR)" dataDxfId="97" dataCellStyle="Comma 12 2"/>
    <tableColumn id="6" xr3:uid="{0715E779-D38F-4C26-BBDD-1F1F1C495931}" name="Amount _x000a_ ( SR )" dataDxfId="96" dataCellStyle="Normal 2 2"/>
    <tableColumn id="7" xr3:uid="{88518C49-30E0-4327-BCC1-C42F40384F49}" name="العام" dataDxfId="95" dataCellStyle="Normal - Style1 2"/>
    <tableColumn id="8" xr3:uid="{1E8A20CB-BCC0-4515-A5AF-15F165C71604}" name="Best" dataDxfId="94" dataCellStyle="Normal - Style1 2"/>
    <tableColumn id="9" xr3:uid="{F1C4A2B6-3B77-4CF7-98DD-AF78D1E86400}" name="Supplier" dataDxfId="93" dataCellStyle="Normal - Style1 2"/>
    <tableColumn id="10" xr3:uid="{033F3C38-1795-47D3-A2E0-EE9DEDE693E2}" name="O&amp;P%" dataDxfId="92" dataCellStyle="Normal - Style1 2"/>
    <tableColumn id="11" xr3:uid="{23EE27F9-44B4-43B6-86E2-23F65098942E}" name="Dry (O)" dataDxfId="91" dataCellStyle="Normal - Style1 2"/>
    <tableColumn id="12" xr3:uid="{EAC425FB-E64A-4B46-AF14-57F17FBE4144}" name="OUTLET_x000a_(P)" dataDxfId="90" dataCellStyle="Normal - Style1 2"/>
    <tableColumn id="13" xr3:uid="{8F4BA794-9D41-4CAC-837D-70F452C874AC}" name="Supply_x000a_(Q)" dataDxfId="89" dataCellStyle="Normal - Style1 2"/>
    <tableColumn id="14" xr3:uid="{E667767B-7E1F-49C8-889B-2D664872DC67}" name="Wastage_x000a_(R)" dataDxfId="88" dataCellStyle="Normal - Style1 2"/>
    <tableColumn id="15" xr3:uid="{2F733255-2C52-4157-A381-04C76C746FEC}" name="Install_x000a_(S)" dataDxfId="87" dataCellStyle="Normal - Style1 2"/>
    <tableColumn id="16" xr3:uid="{A04DC931-97B6-4848-BB1D-6310D4E5E54E}" name="Access_x000a_(T)" dataDxfId="86" dataCellStyle="Normal - Style1 2"/>
    <tableColumn id="17" xr3:uid="{BEDBDE4F-0CE2-49A3-B5AC-03A17A78E2FB}" name="ملاحظات" dataDxfId="85" dataCellStyle="Normal - Style1 2"/>
    <tableColumn id="18" xr3:uid="{6441785B-54E7-4120-BF12-13813B3ED3B2}" name="الموردون" dataDxfId="84" dataCellStyle="Normal - Style1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F338AB-CD23-4B45-A129-CD1916D05645}" name="Table6" displayName="Table6" ref="A1:R68" totalsRowShown="0" headerRowDxfId="45" dataDxfId="43" headerRowBorderDxfId="44" tableBorderDxfId="42" headerRowCellStyle="Normal 5">
  <autoFilter ref="A1:R68" xr:uid="{67F338AB-CD23-4B45-A129-CD1916D05645}"/>
  <tableColumns count="18">
    <tableColumn id="1" xr3:uid="{BA579820-2C66-4532-9B94-E8BD38D35727}" name="م" dataDxfId="41" dataCellStyle="Normal 5"/>
    <tableColumn id="2" xr3:uid="{AEB521EB-81B9-4EFB-ACB1-074F978DB554}" name="رقم_x000a_البند" dataDxfId="40" dataCellStyle="Normal 5"/>
    <tableColumn id="3" xr3:uid="{AE3E54A8-B237-4DC5-98DE-7B80819AB9E7}" name="وصف البند" dataDxfId="39" dataCellStyle="Normal 5"/>
    <tableColumn id="4" xr3:uid="{5F977F09-55A0-495A-9805-FB544BFC1690}" name="الكمية" dataDxfId="38" dataCellStyle="Normal 5"/>
    <tableColumn id="5" xr3:uid="{738F696D-427B-4791-BE47-56BE6783D250}" name="الوحدة" dataDxfId="37" dataCellStyle="Normal 5"/>
    <tableColumn id="6" xr3:uid="{91F0DC0C-BB12-48FC-B838-B5D09AA8AA55}" name="نوع العلبة" dataDxfId="36" dataCellStyle="Normal 5"/>
    <tableColumn id="7" xr3:uid="{16079F98-7C7D-4146-A58A-CD1DC4840658}" name="سعر العلبة_x000a_/وحدة" dataDxfId="35" dataCellStyle="Normal 5"/>
    <tableColumn id="8" xr3:uid="{7EED0B08-0188-4A1E-B634-727D81AED61D}" name="نوع الماسورة" dataDxfId="34" dataCellStyle="Normal 5"/>
    <tableColumn id="9" xr3:uid="{B7ECEA3D-A8DE-4ED3-A87F-F69D48B33864}" name="طول/وحدة_x000a_(م)" dataDxfId="33" dataCellStyle="Normal 5"/>
    <tableColumn id="10" xr3:uid="{BE10A8D6-FE01-420E-8A17-A36B5DE08C79}" name="سعر/م" dataDxfId="32" dataCellStyle="Normal 5"/>
    <tableColumn id="11" xr3:uid="{4735D028-D2E3-4398-80F8-7E0D0782F82E}" name="إجمالي_x000a_ماسورة/وحدة" dataDxfId="31" dataCellStyle="Normal 5"/>
    <tableColumn id="12" xr3:uid="{BD140C97-E303-4765-BEBE-4219A5990A70}" name="نوع السلك" dataDxfId="30" dataCellStyle="Normal 5"/>
    <tableColumn id="13" xr3:uid="{C79080A5-5076-4CA4-80C2-CB7C28AE76CD}" name="طول/وحدة_x000a_(م.ط" dataDxfId="29" dataCellStyle="Normal 5"/>
    <tableColumn id="14" xr3:uid="{90EBC05E-022A-4AF6-BA62-139B731B3D51}" name="سعر/م.ط" dataDxfId="28" dataCellStyle="Normal 5"/>
    <tableColumn id="15" xr3:uid="{BFC00DAB-AD59-46F7-B394-4D9B85AC9878}" name="إجمالي_x000a_سلك/وحدة" dataDxfId="27" dataCellStyle="Normal 5"/>
    <tableColumn id="16" xr3:uid="{8ED17650-2A04-4826-8B8D-C5A0581EE7BC}" name="تثبيت_x000a_وتوصيل" dataDxfId="26" dataCellStyle="Normal 5"/>
    <tableColumn id="17" xr3:uid="{38828995-5A90-47AF-87FB-D05362416C53}" name="★الوحدة" dataDxfId="25" dataCellStyle="Normal 5"/>
    <tableColumn id="18" xr3:uid="{42A5A0B3-7C28-42C5-9E26-6C665FA8722C}" name="★الإجمالي" dataDxfId="24" dataCellStyle="Normal 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3DE410-1250-4638-884C-6B44E3EB76AD}" name="Table7" displayName="Table7" ref="A1:R119" totalsRowShown="0" headerRowDxfId="23" headerRowBorderDxfId="22" tableBorderDxfId="21" headerRowCellStyle="Normal 5">
  <autoFilter ref="A1:R119" xr:uid="{FE3DE410-1250-4638-884C-6B44E3EB76AD}"/>
  <tableColumns count="18">
    <tableColumn id="1" xr3:uid="{8489C285-9078-48B9-8149-216A250BFEFE}" name="م" dataDxfId="20" dataCellStyle="Normal 5"/>
    <tableColumn id="2" xr3:uid="{D8039C2C-5402-4331-9982-AD8383D0E9CD}" name="رقم_x000a_البند" dataDxfId="19" dataCellStyle="Normal 5"/>
    <tableColumn id="3" xr3:uid="{54382285-0181-4953-BB6C-80DD32FC0271}" name="وصف البند" dataDxfId="18" dataCellStyle="Normal 5"/>
    <tableColumn id="4" xr3:uid="{2D2EAE13-546E-47B6-BCD3-87DA9295A47E}" name="الكمية" dataDxfId="17" dataCellStyle="Normal 5"/>
    <tableColumn id="5" xr3:uid="{4004F9C6-EBAD-4E42-82E8-1CB1BB50D786}" name="الوحدة" dataDxfId="16" dataCellStyle="Normal 5"/>
    <tableColumn id="6" xr3:uid="{E8F897D8-48C3-41A8-B706-037ADE8A9F71}" name="نوع العلبة" dataDxfId="15" dataCellStyle="Normal 5"/>
    <tableColumn id="7" xr3:uid="{9243FC9A-AC89-41B8-B6A6-95CB2FB772AA}" name="سعر العلبة_x000a_/وحدة" dataDxfId="14" dataCellStyle="Normal 5"/>
    <tableColumn id="8" xr3:uid="{8ED42A49-3B5C-42CB-9E7D-968AE37BB011}" name="نوع الماسورة" dataDxfId="13" dataCellStyle="Normal 5"/>
    <tableColumn id="9" xr3:uid="{32D9FA28-F1BD-41A0-8E93-1342DD819C09}" name="طول/وحدة_x000a_(م)" dataDxfId="12" dataCellStyle="Normal 5"/>
    <tableColumn id="10" xr3:uid="{F5525D0B-3CE0-48A6-8492-4AA5EA059F01}" name="سعر/م" dataDxfId="11" dataCellStyle="Normal 5"/>
    <tableColumn id="11" xr3:uid="{4E14AE54-B011-4209-873C-32F8F3C43D76}" name="إجمالي_x000a_ماسورة/وحدة" dataDxfId="10" dataCellStyle="Normal 5"/>
    <tableColumn id="12" xr3:uid="{2F7BDC3F-05C4-46E7-9F82-7CC3197A3950}" name="نوع السلك" dataDxfId="9" dataCellStyle="Normal 5"/>
    <tableColumn id="13" xr3:uid="{23D3B254-0E18-47AD-84AB-9AA1CC86E803}" name="طول/وحدة_x000a_(م)2" dataDxfId="8" dataCellStyle="Normal 5"/>
    <tableColumn id="14" xr3:uid="{EC458B08-2605-4E94-BC60-5B3B5CFB7C92}" name="سعر/م.ط" dataDxfId="7" dataCellStyle="Normal 5"/>
    <tableColumn id="15" xr3:uid="{CA200661-0BA2-4AFA-828B-D96A5C630080}" name="إجمالي_x000a_سلك/وحدة" dataDxfId="6" dataCellStyle="Normal 5"/>
    <tableColumn id="16" xr3:uid="{C284D489-5B76-4D10-96D9-04A3147BB22C}" name="تثبيت_x000a_وتوصيل" dataDxfId="5" dataCellStyle="Normal 5"/>
    <tableColumn id="17" xr3:uid="{C8494D3F-B3E4-4365-853B-E9668D7EA990}" name="★الوحدة" dataDxfId="4" dataCellStyle="Normal 5"/>
    <tableColumn id="18" xr3:uid="{05F42549-1DAA-4536-88DD-B9CD39D8F87E}" name="★الإجمالي" dataDxfId="3" dataCellStyle="Normal 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E38E12-DC0D-4D00-B877-0A427926EEED}" name="Table8" displayName="Table8" ref="A1:R14" totalsRowShown="0" headerRowDxfId="2" headerRowBorderDxfId="1" tableBorderDxfId="0" headerRowCellStyle="Normal 5">
  <autoFilter ref="A1:R14" xr:uid="{00E38E12-DC0D-4D00-B877-0A427926EEED}"/>
  <tableColumns count="18">
    <tableColumn id="1" xr3:uid="{72B47519-E7E9-411A-9930-A626A4CB0378}" name="م"/>
    <tableColumn id="2" xr3:uid="{FAA10CEF-EF43-4ABE-9AE7-EB4C3BC64143}" name="رقم_x000a_البند"/>
    <tableColumn id="3" xr3:uid="{0FDAAFFC-72FA-4B5E-8FD4-BBAD5EEFCFF0}" name="وصف البند"/>
    <tableColumn id="4" xr3:uid="{3A879E01-AAC4-4D47-82C1-1AF82B552192}" name="الكمية"/>
    <tableColumn id="5" xr3:uid="{B8FCF638-9547-462A-BB4E-26C23445D98B}" name="الوحدة"/>
    <tableColumn id="6" xr3:uid="{BD58E89D-D4FB-4F07-9A6E-86EEF586068C}" name="نوع العلبة"/>
    <tableColumn id="7" xr3:uid="{BD414851-A4C5-4F83-B6AD-F96ACB7F0DB2}" name="سعر العلبة_x000a_/وحدة"/>
    <tableColumn id="8" xr3:uid="{2106880D-6EE7-40E7-996B-0C6474F2F5FB}" name="نوع الماسورة"/>
    <tableColumn id="9" xr3:uid="{DEFC2EFC-1A00-4528-BAE0-FF4BDE6D207F}" name="طول/وحدة_x000a_(م)"/>
    <tableColumn id="10" xr3:uid="{0A925073-2559-4112-98A5-6A514021D822}" name="سعر/م"/>
    <tableColumn id="11" xr3:uid="{076B7595-2165-4C97-B11A-E5E4173C51A2}" name="إجمالي_x000a_ماسورة/وحدة"/>
    <tableColumn id="12" xr3:uid="{705E55CA-303B-432F-90B6-D82E64904E1D}" name="نوع السلك"/>
    <tableColumn id="13" xr3:uid="{86C99110-2F87-4C39-9FC6-BE71D88A4D4D}" name="طول/وحدة_x000a_(م)2"/>
    <tableColumn id="14" xr3:uid="{754468B7-3B6B-4759-90CB-F32D994802AE}" name="سعر/م3"/>
    <tableColumn id="15" xr3:uid="{C7552F74-D75B-4A6C-9674-5B3CCD44920D}" name="إجمالي_x000a_سلك/وحدة"/>
    <tableColumn id="16" xr3:uid="{936D704C-91A3-4F9D-BD05-7946CC5CA6C2}" name="تثبيت_x000a_وتوصيل"/>
    <tableColumn id="17" xr3:uid="{3DEF9C19-07B6-4711-895F-7F704B13A4D7}" name="★الوحدة"/>
    <tableColumn id="18" xr3:uid="{A6C21D05-F028-44A9-843D-44232F24C1D8}" name="★الإجمالي"/>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D38CE-F9D4-4474-9DB5-5A4296660E02}">
  <sheetPr codeName="Sheet1">
    <pageSetUpPr fitToPage="1"/>
  </sheetPr>
  <dimension ref="A1:IB19"/>
  <sheetViews>
    <sheetView view="pageBreakPreview" topLeftCell="B7" zoomScale="115" zoomScaleNormal="115" zoomScaleSheetLayoutView="115" workbookViewId="0">
      <selection activeCell="F14" sqref="F14"/>
    </sheetView>
  </sheetViews>
  <sheetFormatPr defaultRowHeight="13.8" x14ac:dyDescent="0.3"/>
  <cols>
    <col min="1" max="1" width="7.77734375" style="96" customWidth="1"/>
    <col min="2" max="2" width="71.6640625" style="96" customWidth="1"/>
    <col min="3" max="3" width="22.5546875" style="96" customWidth="1"/>
    <col min="4" max="4" width="11.77734375" style="96" bestFit="1" customWidth="1"/>
    <col min="5" max="5" width="9.21875" style="96" customWidth="1"/>
    <col min="6" max="6" width="12.44140625" style="96" bestFit="1" customWidth="1"/>
    <col min="7" max="223" width="9.21875" style="96" customWidth="1"/>
    <col min="224" max="224" width="18.5546875" style="96" customWidth="1"/>
    <col min="225" max="225" width="4.77734375" style="96" customWidth="1"/>
    <col min="226" max="226" width="46.21875" style="96" customWidth="1"/>
    <col min="227" max="227" width="18.21875" style="96" customWidth="1"/>
    <col min="228" max="236" width="9.21875" style="96" customWidth="1"/>
    <col min="237" max="250" width="8.77734375" style="96"/>
    <col min="251" max="251" width="7.77734375" style="96" customWidth="1"/>
    <col min="252" max="252" width="20.77734375" style="96" bestFit="1" customWidth="1"/>
    <col min="253" max="253" width="41.21875" style="96" customWidth="1"/>
    <col min="254" max="254" width="21" style="96" customWidth="1"/>
    <col min="255" max="479" width="9.21875" style="96" customWidth="1"/>
    <col min="480" max="480" width="18.5546875" style="96" customWidth="1"/>
    <col min="481" max="481" width="4.77734375" style="96" customWidth="1"/>
    <col min="482" max="482" width="46.21875" style="96" customWidth="1"/>
    <col min="483" max="483" width="18.21875" style="96" customWidth="1"/>
    <col min="484" max="492" width="9.21875" style="96" customWidth="1"/>
    <col min="493" max="506" width="8.77734375" style="96"/>
    <col min="507" max="507" width="7.77734375" style="96" customWidth="1"/>
    <col min="508" max="508" width="20.77734375" style="96" bestFit="1" customWidth="1"/>
    <col min="509" max="509" width="41.21875" style="96" customWidth="1"/>
    <col min="510" max="510" width="21" style="96" customWidth="1"/>
    <col min="511" max="735" width="9.21875" style="96" customWidth="1"/>
    <col min="736" max="736" width="18.5546875" style="96" customWidth="1"/>
    <col min="737" max="737" width="4.77734375" style="96" customWidth="1"/>
    <col min="738" max="738" width="46.21875" style="96" customWidth="1"/>
    <col min="739" max="739" width="18.21875" style="96" customWidth="1"/>
    <col min="740" max="748" width="9.21875" style="96" customWidth="1"/>
    <col min="749" max="762" width="8.77734375" style="96"/>
    <col min="763" max="763" width="7.77734375" style="96" customWidth="1"/>
    <col min="764" max="764" width="20.77734375" style="96" bestFit="1" customWidth="1"/>
    <col min="765" max="765" width="41.21875" style="96" customWidth="1"/>
    <col min="766" max="766" width="21" style="96" customWidth="1"/>
    <col min="767" max="991" width="9.21875" style="96" customWidth="1"/>
    <col min="992" max="992" width="18.5546875" style="96" customWidth="1"/>
    <col min="993" max="993" width="4.77734375" style="96" customWidth="1"/>
    <col min="994" max="994" width="46.21875" style="96" customWidth="1"/>
    <col min="995" max="995" width="18.21875" style="96" customWidth="1"/>
    <col min="996" max="1004" width="9.21875" style="96" customWidth="1"/>
    <col min="1005" max="1018" width="8.77734375" style="96"/>
    <col min="1019" max="1019" width="7.77734375" style="96" customWidth="1"/>
    <col min="1020" max="1020" width="20.77734375" style="96" bestFit="1" customWidth="1"/>
    <col min="1021" max="1021" width="41.21875" style="96" customWidth="1"/>
    <col min="1022" max="1022" width="21" style="96" customWidth="1"/>
    <col min="1023" max="1247" width="9.21875" style="96" customWidth="1"/>
    <col min="1248" max="1248" width="18.5546875" style="96" customWidth="1"/>
    <col min="1249" max="1249" width="4.77734375" style="96" customWidth="1"/>
    <col min="1250" max="1250" width="46.21875" style="96" customWidth="1"/>
    <col min="1251" max="1251" width="18.21875" style="96" customWidth="1"/>
    <col min="1252" max="1260" width="9.21875" style="96" customWidth="1"/>
    <col min="1261" max="1274" width="8.77734375" style="96"/>
    <col min="1275" max="1275" width="7.77734375" style="96" customWidth="1"/>
    <col min="1276" max="1276" width="20.77734375" style="96" bestFit="1" customWidth="1"/>
    <col min="1277" max="1277" width="41.21875" style="96" customWidth="1"/>
    <col min="1278" max="1278" width="21" style="96" customWidth="1"/>
    <col min="1279" max="1503" width="9.21875" style="96" customWidth="1"/>
    <col min="1504" max="1504" width="18.5546875" style="96" customWidth="1"/>
    <col min="1505" max="1505" width="4.77734375" style="96" customWidth="1"/>
    <col min="1506" max="1506" width="46.21875" style="96" customWidth="1"/>
    <col min="1507" max="1507" width="18.21875" style="96" customWidth="1"/>
    <col min="1508" max="1516" width="9.21875" style="96" customWidth="1"/>
    <col min="1517" max="1530" width="8.77734375" style="96"/>
    <col min="1531" max="1531" width="7.77734375" style="96" customWidth="1"/>
    <col min="1532" max="1532" width="20.77734375" style="96" bestFit="1" customWidth="1"/>
    <col min="1533" max="1533" width="41.21875" style="96" customWidth="1"/>
    <col min="1534" max="1534" width="21" style="96" customWidth="1"/>
    <col min="1535" max="1759" width="9.21875" style="96" customWidth="1"/>
    <col min="1760" max="1760" width="18.5546875" style="96" customWidth="1"/>
    <col min="1761" max="1761" width="4.77734375" style="96" customWidth="1"/>
    <col min="1762" max="1762" width="46.21875" style="96" customWidth="1"/>
    <col min="1763" max="1763" width="18.21875" style="96" customWidth="1"/>
    <col min="1764" max="1772" width="9.21875" style="96" customWidth="1"/>
    <col min="1773" max="1786" width="8.77734375" style="96"/>
    <col min="1787" max="1787" width="7.77734375" style="96" customWidth="1"/>
    <col min="1788" max="1788" width="20.77734375" style="96" bestFit="1" customWidth="1"/>
    <col min="1789" max="1789" width="41.21875" style="96" customWidth="1"/>
    <col min="1790" max="1790" width="21" style="96" customWidth="1"/>
    <col min="1791" max="2015" width="9.21875" style="96" customWidth="1"/>
    <col min="2016" max="2016" width="18.5546875" style="96" customWidth="1"/>
    <col min="2017" max="2017" width="4.77734375" style="96" customWidth="1"/>
    <col min="2018" max="2018" width="46.21875" style="96" customWidth="1"/>
    <col min="2019" max="2019" width="18.21875" style="96" customWidth="1"/>
    <col min="2020" max="2028" width="9.21875" style="96" customWidth="1"/>
    <col min="2029" max="2042" width="8.77734375" style="96"/>
    <col min="2043" max="2043" width="7.77734375" style="96" customWidth="1"/>
    <col min="2044" max="2044" width="20.77734375" style="96" bestFit="1" customWidth="1"/>
    <col min="2045" max="2045" width="41.21875" style="96" customWidth="1"/>
    <col min="2046" max="2046" width="21" style="96" customWidth="1"/>
    <col min="2047" max="2271" width="9.21875" style="96" customWidth="1"/>
    <col min="2272" max="2272" width="18.5546875" style="96" customWidth="1"/>
    <col min="2273" max="2273" width="4.77734375" style="96" customWidth="1"/>
    <col min="2274" max="2274" width="46.21875" style="96" customWidth="1"/>
    <col min="2275" max="2275" width="18.21875" style="96" customWidth="1"/>
    <col min="2276" max="2284" width="9.21875" style="96" customWidth="1"/>
    <col min="2285" max="2298" width="8.77734375" style="96"/>
    <col min="2299" max="2299" width="7.77734375" style="96" customWidth="1"/>
    <col min="2300" max="2300" width="20.77734375" style="96" bestFit="1" customWidth="1"/>
    <col min="2301" max="2301" width="41.21875" style="96" customWidth="1"/>
    <col min="2302" max="2302" width="21" style="96" customWidth="1"/>
    <col min="2303" max="2527" width="9.21875" style="96" customWidth="1"/>
    <col min="2528" max="2528" width="18.5546875" style="96" customWidth="1"/>
    <col min="2529" max="2529" width="4.77734375" style="96" customWidth="1"/>
    <col min="2530" max="2530" width="46.21875" style="96" customWidth="1"/>
    <col min="2531" max="2531" width="18.21875" style="96" customWidth="1"/>
    <col min="2532" max="2540" width="9.21875" style="96" customWidth="1"/>
    <col min="2541" max="2554" width="8.77734375" style="96"/>
    <col min="2555" max="2555" width="7.77734375" style="96" customWidth="1"/>
    <col min="2556" max="2556" width="20.77734375" style="96" bestFit="1" customWidth="1"/>
    <col min="2557" max="2557" width="41.21875" style="96" customWidth="1"/>
    <col min="2558" max="2558" width="21" style="96" customWidth="1"/>
    <col min="2559" max="2783" width="9.21875" style="96" customWidth="1"/>
    <col min="2784" max="2784" width="18.5546875" style="96" customWidth="1"/>
    <col min="2785" max="2785" width="4.77734375" style="96" customWidth="1"/>
    <col min="2786" max="2786" width="46.21875" style="96" customWidth="1"/>
    <col min="2787" max="2787" width="18.21875" style="96" customWidth="1"/>
    <col min="2788" max="2796" width="9.21875" style="96" customWidth="1"/>
    <col min="2797" max="2810" width="8.77734375" style="96"/>
    <col min="2811" max="2811" width="7.77734375" style="96" customWidth="1"/>
    <col min="2812" max="2812" width="20.77734375" style="96" bestFit="1" customWidth="1"/>
    <col min="2813" max="2813" width="41.21875" style="96" customWidth="1"/>
    <col min="2814" max="2814" width="21" style="96" customWidth="1"/>
    <col min="2815" max="3039" width="9.21875" style="96" customWidth="1"/>
    <col min="3040" max="3040" width="18.5546875" style="96" customWidth="1"/>
    <col min="3041" max="3041" width="4.77734375" style="96" customWidth="1"/>
    <col min="3042" max="3042" width="46.21875" style="96" customWidth="1"/>
    <col min="3043" max="3043" width="18.21875" style="96" customWidth="1"/>
    <col min="3044" max="3052" width="9.21875" style="96" customWidth="1"/>
    <col min="3053" max="3066" width="8.77734375" style="96"/>
    <col min="3067" max="3067" width="7.77734375" style="96" customWidth="1"/>
    <col min="3068" max="3068" width="20.77734375" style="96" bestFit="1" customWidth="1"/>
    <col min="3069" max="3069" width="41.21875" style="96" customWidth="1"/>
    <col min="3070" max="3070" width="21" style="96" customWidth="1"/>
    <col min="3071" max="3295" width="9.21875" style="96" customWidth="1"/>
    <col min="3296" max="3296" width="18.5546875" style="96" customWidth="1"/>
    <col min="3297" max="3297" width="4.77734375" style="96" customWidth="1"/>
    <col min="3298" max="3298" width="46.21875" style="96" customWidth="1"/>
    <col min="3299" max="3299" width="18.21875" style="96" customWidth="1"/>
    <col min="3300" max="3308" width="9.21875" style="96" customWidth="1"/>
    <col min="3309" max="3322" width="8.77734375" style="96"/>
    <col min="3323" max="3323" width="7.77734375" style="96" customWidth="1"/>
    <col min="3324" max="3324" width="20.77734375" style="96" bestFit="1" customWidth="1"/>
    <col min="3325" max="3325" width="41.21875" style="96" customWidth="1"/>
    <col min="3326" max="3326" width="21" style="96" customWidth="1"/>
    <col min="3327" max="3551" width="9.21875" style="96" customWidth="1"/>
    <col min="3552" max="3552" width="18.5546875" style="96" customWidth="1"/>
    <col min="3553" max="3553" width="4.77734375" style="96" customWidth="1"/>
    <col min="3554" max="3554" width="46.21875" style="96" customWidth="1"/>
    <col min="3555" max="3555" width="18.21875" style="96" customWidth="1"/>
    <col min="3556" max="3564" width="9.21875" style="96" customWidth="1"/>
    <col min="3565" max="3578" width="8.77734375" style="96"/>
    <col min="3579" max="3579" width="7.77734375" style="96" customWidth="1"/>
    <col min="3580" max="3580" width="20.77734375" style="96" bestFit="1" customWidth="1"/>
    <col min="3581" max="3581" width="41.21875" style="96" customWidth="1"/>
    <col min="3582" max="3582" width="21" style="96" customWidth="1"/>
    <col min="3583" max="3807" width="9.21875" style="96" customWidth="1"/>
    <col min="3808" max="3808" width="18.5546875" style="96" customWidth="1"/>
    <col min="3809" max="3809" width="4.77734375" style="96" customWidth="1"/>
    <col min="3810" max="3810" width="46.21875" style="96" customWidth="1"/>
    <col min="3811" max="3811" width="18.21875" style="96" customWidth="1"/>
    <col min="3812" max="3820" width="9.21875" style="96" customWidth="1"/>
    <col min="3821" max="3834" width="8.77734375" style="96"/>
    <col min="3835" max="3835" width="7.77734375" style="96" customWidth="1"/>
    <col min="3836" max="3836" width="20.77734375" style="96" bestFit="1" customWidth="1"/>
    <col min="3837" max="3837" width="41.21875" style="96" customWidth="1"/>
    <col min="3838" max="3838" width="21" style="96" customWidth="1"/>
    <col min="3839" max="4063" width="9.21875" style="96" customWidth="1"/>
    <col min="4064" max="4064" width="18.5546875" style="96" customWidth="1"/>
    <col min="4065" max="4065" width="4.77734375" style="96" customWidth="1"/>
    <col min="4066" max="4066" width="46.21875" style="96" customWidth="1"/>
    <col min="4067" max="4067" width="18.21875" style="96" customWidth="1"/>
    <col min="4068" max="4076" width="9.21875" style="96" customWidth="1"/>
    <col min="4077" max="4090" width="8.77734375" style="96"/>
    <col min="4091" max="4091" width="7.77734375" style="96" customWidth="1"/>
    <col min="4092" max="4092" width="20.77734375" style="96" bestFit="1" customWidth="1"/>
    <col min="4093" max="4093" width="41.21875" style="96" customWidth="1"/>
    <col min="4094" max="4094" width="21" style="96" customWidth="1"/>
    <col min="4095" max="4319" width="9.21875" style="96" customWidth="1"/>
    <col min="4320" max="4320" width="18.5546875" style="96" customWidth="1"/>
    <col min="4321" max="4321" width="4.77734375" style="96" customWidth="1"/>
    <col min="4322" max="4322" width="46.21875" style="96" customWidth="1"/>
    <col min="4323" max="4323" width="18.21875" style="96" customWidth="1"/>
    <col min="4324" max="4332" width="9.21875" style="96" customWidth="1"/>
    <col min="4333" max="4346" width="8.77734375" style="96"/>
    <col min="4347" max="4347" width="7.77734375" style="96" customWidth="1"/>
    <col min="4348" max="4348" width="20.77734375" style="96" bestFit="1" customWidth="1"/>
    <col min="4349" max="4349" width="41.21875" style="96" customWidth="1"/>
    <col min="4350" max="4350" width="21" style="96" customWidth="1"/>
    <col min="4351" max="4575" width="9.21875" style="96" customWidth="1"/>
    <col min="4576" max="4576" width="18.5546875" style="96" customWidth="1"/>
    <col min="4577" max="4577" width="4.77734375" style="96" customWidth="1"/>
    <col min="4578" max="4578" width="46.21875" style="96" customWidth="1"/>
    <col min="4579" max="4579" width="18.21875" style="96" customWidth="1"/>
    <col min="4580" max="4588" width="9.21875" style="96" customWidth="1"/>
    <col min="4589" max="4602" width="8.77734375" style="96"/>
    <col min="4603" max="4603" width="7.77734375" style="96" customWidth="1"/>
    <col min="4604" max="4604" width="20.77734375" style="96" bestFit="1" customWidth="1"/>
    <col min="4605" max="4605" width="41.21875" style="96" customWidth="1"/>
    <col min="4606" max="4606" width="21" style="96" customWidth="1"/>
    <col min="4607" max="4831" width="9.21875" style="96" customWidth="1"/>
    <col min="4832" max="4832" width="18.5546875" style="96" customWidth="1"/>
    <col min="4833" max="4833" width="4.77734375" style="96" customWidth="1"/>
    <col min="4834" max="4834" width="46.21875" style="96" customWidth="1"/>
    <col min="4835" max="4835" width="18.21875" style="96" customWidth="1"/>
    <col min="4836" max="4844" width="9.21875" style="96" customWidth="1"/>
    <col min="4845" max="4858" width="8.77734375" style="96"/>
    <col min="4859" max="4859" width="7.77734375" style="96" customWidth="1"/>
    <col min="4860" max="4860" width="20.77734375" style="96" bestFit="1" customWidth="1"/>
    <col min="4861" max="4861" width="41.21875" style="96" customWidth="1"/>
    <col min="4862" max="4862" width="21" style="96" customWidth="1"/>
    <col min="4863" max="5087" width="9.21875" style="96" customWidth="1"/>
    <col min="5088" max="5088" width="18.5546875" style="96" customWidth="1"/>
    <col min="5089" max="5089" width="4.77734375" style="96" customWidth="1"/>
    <col min="5090" max="5090" width="46.21875" style="96" customWidth="1"/>
    <col min="5091" max="5091" width="18.21875" style="96" customWidth="1"/>
    <col min="5092" max="5100" width="9.21875" style="96" customWidth="1"/>
    <col min="5101" max="5114" width="8.77734375" style="96"/>
    <col min="5115" max="5115" width="7.77734375" style="96" customWidth="1"/>
    <col min="5116" max="5116" width="20.77734375" style="96" bestFit="1" customWidth="1"/>
    <col min="5117" max="5117" width="41.21875" style="96" customWidth="1"/>
    <col min="5118" max="5118" width="21" style="96" customWidth="1"/>
    <col min="5119" max="5343" width="9.21875" style="96" customWidth="1"/>
    <col min="5344" max="5344" width="18.5546875" style="96" customWidth="1"/>
    <col min="5345" max="5345" width="4.77734375" style="96" customWidth="1"/>
    <col min="5346" max="5346" width="46.21875" style="96" customWidth="1"/>
    <col min="5347" max="5347" width="18.21875" style="96" customWidth="1"/>
    <col min="5348" max="5356" width="9.21875" style="96" customWidth="1"/>
    <col min="5357" max="5370" width="8.77734375" style="96"/>
    <col min="5371" max="5371" width="7.77734375" style="96" customWidth="1"/>
    <col min="5372" max="5372" width="20.77734375" style="96" bestFit="1" customWidth="1"/>
    <col min="5373" max="5373" width="41.21875" style="96" customWidth="1"/>
    <col min="5374" max="5374" width="21" style="96" customWidth="1"/>
    <col min="5375" max="5599" width="9.21875" style="96" customWidth="1"/>
    <col min="5600" max="5600" width="18.5546875" style="96" customWidth="1"/>
    <col min="5601" max="5601" width="4.77734375" style="96" customWidth="1"/>
    <col min="5602" max="5602" width="46.21875" style="96" customWidth="1"/>
    <col min="5603" max="5603" width="18.21875" style="96" customWidth="1"/>
    <col min="5604" max="5612" width="9.21875" style="96" customWidth="1"/>
    <col min="5613" max="5626" width="8.77734375" style="96"/>
    <col min="5627" max="5627" width="7.77734375" style="96" customWidth="1"/>
    <col min="5628" max="5628" width="20.77734375" style="96" bestFit="1" customWidth="1"/>
    <col min="5629" max="5629" width="41.21875" style="96" customWidth="1"/>
    <col min="5630" max="5630" width="21" style="96" customWidth="1"/>
    <col min="5631" max="5855" width="9.21875" style="96" customWidth="1"/>
    <col min="5856" max="5856" width="18.5546875" style="96" customWidth="1"/>
    <col min="5857" max="5857" width="4.77734375" style="96" customWidth="1"/>
    <col min="5858" max="5858" width="46.21875" style="96" customWidth="1"/>
    <col min="5859" max="5859" width="18.21875" style="96" customWidth="1"/>
    <col min="5860" max="5868" width="9.21875" style="96" customWidth="1"/>
    <col min="5869" max="5882" width="8.77734375" style="96"/>
    <col min="5883" max="5883" width="7.77734375" style="96" customWidth="1"/>
    <col min="5884" max="5884" width="20.77734375" style="96" bestFit="1" customWidth="1"/>
    <col min="5885" max="5885" width="41.21875" style="96" customWidth="1"/>
    <col min="5886" max="5886" width="21" style="96" customWidth="1"/>
    <col min="5887" max="6111" width="9.21875" style="96" customWidth="1"/>
    <col min="6112" max="6112" width="18.5546875" style="96" customWidth="1"/>
    <col min="6113" max="6113" width="4.77734375" style="96" customWidth="1"/>
    <col min="6114" max="6114" width="46.21875" style="96" customWidth="1"/>
    <col min="6115" max="6115" width="18.21875" style="96" customWidth="1"/>
    <col min="6116" max="6124" width="9.21875" style="96" customWidth="1"/>
    <col min="6125" max="6138" width="8.77734375" style="96"/>
    <col min="6139" max="6139" width="7.77734375" style="96" customWidth="1"/>
    <col min="6140" max="6140" width="20.77734375" style="96" bestFit="1" customWidth="1"/>
    <col min="6141" max="6141" width="41.21875" style="96" customWidth="1"/>
    <col min="6142" max="6142" width="21" style="96" customWidth="1"/>
    <col min="6143" max="6367" width="9.21875" style="96" customWidth="1"/>
    <col min="6368" max="6368" width="18.5546875" style="96" customWidth="1"/>
    <col min="6369" max="6369" width="4.77734375" style="96" customWidth="1"/>
    <col min="6370" max="6370" width="46.21875" style="96" customWidth="1"/>
    <col min="6371" max="6371" width="18.21875" style="96" customWidth="1"/>
    <col min="6372" max="6380" width="9.21875" style="96" customWidth="1"/>
    <col min="6381" max="6394" width="8.77734375" style="96"/>
    <col min="6395" max="6395" width="7.77734375" style="96" customWidth="1"/>
    <col min="6396" max="6396" width="20.77734375" style="96" bestFit="1" customWidth="1"/>
    <col min="6397" max="6397" width="41.21875" style="96" customWidth="1"/>
    <col min="6398" max="6398" width="21" style="96" customWidth="1"/>
    <col min="6399" max="6623" width="9.21875" style="96" customWidth="1"/>
    <col min="6624" max="6624" width="18.5546875" style="96" customWidth="1"/>
    <col min="6625" max="6625" width="4.77734375" style="96" customWidth="1"/>
    <col min="6626" max="6626" width="46.21875" style="96" customWidth="1"/>
    <col min="6627" max="6627" width="18.21875" style="96" customWidth="1"/>
    <col min="6628" max="6636" width="9.21875" style="96" customWidth="1"/>
    <col min="6637" max="6650" width="8.77734375" style="96"/>
    <col min="6651" max="6651" width="7.77734375" style="96" customWidth="1"/>
    <col min="6652" max="6652" width="20.77734375" style="96" bestFit="1" customWidth="1"/>
    <col min="6653" max="6653" width="41.21875" style="96" customWidth="1"/>
    <col min="6654" max="6654" width="21" style="96" customWidth="1"/>
    <col min="6655" max="6879" width="9.21875" style="96" customWidth="1"/>
    <col min="6880" max="6880" width="18.5546875" style="96" customWidth="1"/>
    <col min="6881" max="6881" width="4.77734375" style="96" customWidth="1"/>
    <col min="6882" max="6882" width="46.21875" style="96" customWidth="1"/>
    <col min="6883" max="6883" width="18.21875" style="96" customWidth="1"/>
    <col min="6884" max="6892" width="9.21875" style="96" customWidth="1"/>
    <col min="6893" max="6906" width="8.77734375" style="96"/>
    <col min="6907" max="6907" width="7.77734375" style="96" customWidth="1"/>
    <col min="6908" max="6908" width="20.77734375" style="96" bestFit="1" customWidth="1"/>
    <col min="6909" max="6909" width="41.21875" style="96" customWidth="1"/>
    <col min="6910" max="6910" width="21" style="96" customWidth="1"/>
    <col min="6911" max="7135" width="9.21875" style="96" customWidth="1"/>
    <col min="7136" max="7136" width="18.5546875" style="96" customWidth="1"/>
    <col min="7137" max="7137" width="4.77734375" style="96" customWidth="1"/>
    <col min="7138" max="7138" width="46.21875" style="96" customWidth="1"/>
    <col min="7139" max="7139" width="18.21875" style="96" customWidth="1"/>
    <col min="7140" max="7148" width="9.21875" style="96" customWidth="1"/>
    <col min="7149" max="7162" width="8.77734375" style="96"/>
    <col min="7163" max="7163" width="7.77734375" style="96" customWidth="1"/>
    <col min="7164" max="7164" width="20.77734375" style="96" bestFit="1" customWidth="1"/>
    <col min="7165" max="7165" width="41.21875" style="96" customWidth="1"/>
    <col min="7166" max="7166" width="21" style="96" customWidth="1"/>
    <col min="7167" max="7391" width="9.21875" style="96" customWidth="1"/>
    <col min="7392" max="7392" width="18.5546875" style="96" customWidth="1"/>
    <col min="7393" max="7393" width="4.77734375" style="96" customWidth="1"/>
    <col min="7394" max="7394" width="46.21875" style="96" customWidth="1"/>
    <col min="7395" max="7395" width="18.21875" style="96" customWidth="1"/>
    <col min="7396" max="7404" width="9.21875" style="96" customWidth="1"/>
    <col min="7405" max="7418" width="8.77734375" style="96"/>
    <col min="7419" max="7419" width="7.77734375" style="96" customWidth="1"/>
    <col min="7420" max="7420" width="20.77734375" style="96" bestFit="1" customWidth="1"/>
    <col min="7421" max="7421" width="41.21875" style="96" customWidth="1"/>
    <col min="7422" max="7422" width="21" style="96" customWidth="1"/>
    <col min="7423" max="7647" width="9.21875" style="96" customWidth="1"/>
    <col min="7648" max="7648" width="18.5546875" style="96" customWidth="1"/>
    <col min="7649" max="7649" width="4.77734375" style="96" customWidth="1"/>
    <col min="7650" max="7650" width="46.21875" style="96" customWidth="1"/>
    <col min="7651" max="7651" width="18.21875" style="96" customWidth="1"/>
    <col min="7652" max="7660" width="9.21875" style="96" customWidth="1"/>
    <col min="7661" max="7674" width="8.77734375" style="96"/>
    <col min="7675" max="7675" width="7.77734375" style="96" customWidth="1"/>
    <col min="7676" max="7676" width="20.77734375" style="96" bestFit="1" customWidth="1"/>
    <col min="7677" max="7677" width="41.21875" style="96" customWidth="1"/>
    <col min="7678" max="7678" width="21" style="96" customWidth="1"/>
    <col min="7679" max="7903" width="9.21875" style="96" customWidth="1"/>
    <col min="7904" max="7904" width="18.5546875" style="96" customWidth="1"/>
    <col min="7905" max="7905" width="4.77734375" style="96" customWidth="1"/>
    <col min="7906" max="7906" width="46.21875" style="96" customWidth="1"/>
    <col min="7907" max="7907" width="18.21875" style="96" customWidth="1"/>
    <col min="7908" max="7916" width="9.21875" style="96" customWidth="1"/>
    <col min="7917" max="7930" width="8.77734375" style="96"/>
    <col min="7931" max="7931" width="7.77734375" style="96" customWidth="1"/>
    <col min="7932" max="7932" width="20.77734375" style="96" bestFit="1" customWidth="1"/>
    <col min="7933" max="7933" width="41.21875" style="96" customWidth="1"/>
    <col min="7934" max="7934" width="21" style="96" customWidth="1"/>
    <col min="7935" max="8159" width="9.21875" style="96" customWidth="1"/>
    <col min="8160" max="8160" width="18.5546875" style="96" customWidth="1"/>
    <col min="8161" max="8161" width="4.77734375" style="96" customWidth="1"/>
    <col min="8162" max="8162" width="46.21875" style="96" customWidth="1"/>
    <col min="8163" max="8163" width="18.21875" style="96" customWidth="1"/>
    <col min="8164" max="8172" width="9.21875" style="96" customWidth="1"/>
    <col min="8173" max="8186" width="8.77734375" style="96"/>
    <col min="8187" max="8187" width="7.77734375" style="96" customWidth="1"/>
    <col min="8188" max="8188" width="20.77734375" style="96" bestFit="1" customWidth="1"/>
    <col min="8189" max="8189" width="41.21875" style="96" customWidth="1"/>
    <col min="8190" max="8190" width="21" style="96" customWidth="1"/>
    <col min="8191" max="8415" width="9.21875" style="96" customWidth="1"/>
    <col min="8416" max="8416" width="18.5546875" style="96" customWidth="1"/>
    <col min="8417" max="8417" width="4.77734375" style="96" customWidth="1"/>
    <col min="8418" max="8418" width="46.21875" style="96" customWidth="1"/>
    <col min="8419" max="8419" width="18.21875" style="96" customWidth="1"/>
    <col min="8420" max="8428" width="9.21875" style="96" customWidth="1"/>
    <col min="8429" max="8442" width="8.77734375" style="96"/>
    <col min="8443" max="8443" width="7.77734375" style="96" customWidth="1"/>
    <col min="8444" max="8444" width="20.77734375" style="96" bestFit="1" customWidth="1"/>
    <col min="8445" max="8445" width="41.21875" style="96" customWidth="1"/>
    <col min="8446" max="8446" width="21" style="96" customWidth="1"/>
    <col min="8447" max="8671" width="9.21875" style="96" customWidth="1"/>
    <col min="8672" max="8672" width="18.5546875" style="96" customWidth="1"/>
    <col min="8673" max="8673" width="4.77734375" style="96" customWidth="1"/>
    <col min="8674" max="8674" width="46.21875" style="96" customWidth="1"/>
    <col min="8675" max="8675" width="18.21875" style="96" customWidth="1"/>
    <col min="8676" max="8684" width="9.21875" style="96" customWidth="1"/>
    <col min="8685" max="8698" width="8.77734375" style="96"/>
    <col min="8699" max="8699" width="7.77734375" style="96" customWidth="1"/>
    <col min="8700" max="8700" width="20.77734375" style="96" bestFit="1" customWidth="1"/>
    <col min="8701" max="8701" width="41.21875" style="96" customWidth="1"/>
    <col min="8702" max="8702" width="21" style="96" customWidth="1"/>
    <col min="8703" max="8927" width="9.21875" style="96" customWidth="1"/>
    <col min="8928" max="8928" width="18.5546875" style="96" customWidth="1"/>
    <col min="8929" max="8929" width="4.77734375" style="96" customWidth="1"/>
    <col min="8930" max="8930" width="46.21875" style="96" customWidth="1"/>
    <col min="8931" max="8931" width="18.21875" style="96" customWidth="1"/>
    <col min="8932" max="8940" width="9.21875" style="96" customWidth="1"/>
    <col min="8941" max="8954" width="8.77734375" style="96"/>
    <col min="8955" max="8955" width="7.77734375" style="96" customWidth="1"/>
    <col min="8956" max="8956" width="20.77734375" style="96" bestFit="1" customWidth="1"/>
    <col min="8957" max="8957" width="41.21875" style="96" customWidth="1"/>
    <col min="8958" max="8958" width="21" style="96" customWidth="1"/>
    <col min="8959" max="9183" width="9.21875" style="96" customWidth="1"/>
    <col min="9184" max="9184" width="18.5546875" style="96" customWidth="1"/>
    <col min="9185" max="9185" width="4.77734375" style="96" customWidth="1"/>
    <col min="9186" max="9186" width="46.21875" style="96" customWidth="1"/>
    <col min="9187" max="9187" width="18.21875" style="96" customWidth="1"/>
    <col min="9188" max="9196" width="9.21875" style="96" customWidth="1"/>
    <col min="9197" max="9210" width="8.77734375" style="96"/>
    <col min="9211" max="9211" width="7.77734375" style="96" customWidth="1"/>
    <col min="9212" max="9212" width="20.77734375" style="96" bestFit="1" customWidth="1"/>
    <col min="9213" max="9213" width="41.21875" style="96" customWidth="1"/>
    <col min="9214" max="9214" width="21" style="96" customWidth="1"/>
    <col min="9215" max="9439" width="9.21875" style="96" customWidth="1"/>
    <col min="9440" max="9440" width="18.5546875" style="96" customWidth="1"/>
    <col min="9441" max="9441" width="4.77734375" style="96" customWidth="1"/>
    <col min="9442" max="9442" width="46.21875" style="96" customWidth="1"/>
    <col min="9443" max="9443" width="18.21875" style="96" customWidth="1"/>
    <col min="9444" max="9452" width="9.21875" style="96" customWidth="1"/>
    <col min="9453" max="9466" width="8.77734375" style="96"/>
    <col min="9467" max="9467" width="7.77734375" style="96" customWidth="1"/>
    <col min="9468" max="9468" width="20.77734375" style="96" bestFit="1" customWidth="1"/>
    <col min="9469" max="9469" width="41.21875" style="96" customWidth="1"/>
    <col min="9470" max="9470" width="21" style="96" customWidth="1"/>
    <col min="9471" max="9695" width="9.21875" style="96" customWidth="1"/>
    <col min="9696" max="9696" width="18.5546875" style="96" customWidth="1"/>
    <col min="9697" max="9697" width="4.77734375" style="96" customWidth="1"/>
    <col min="9698" max="9698" width="46.21875" style="96" customWidth="1"/>
    <col min="9699" max="9699" width="18.21875" style="96" customWidth="1"/>
    <col min="9700" max="9708" width="9.21875" style="96" customWidth="1"/>
    <col min="9709" max="9722" width="8.77734375" style="96"/>
    <col min="9723" max="9723" width="7.77734375" style="96" customWidth="1"/>
    <col min="9724" max="9724" width="20.77734375" style="96" bestFit="1" customWidth="1"/>
    <col min="9725" max="9725" width="41.21875" style="96" customWidth="1"/>
    <col min="9726" max="9726" width="21" style="96" customWidth="1"/>
    <col min="9727" max="9951" width="9.21875" style="96" customWidth="1"/>
    <col min="9952" max="9952" width="18.5546875" style="96" customWidth="1"/>
    <col min="9953" max="9953" width="4.77734375" style="96" customWidth="1"/>
    <col min="9954" max="9954" width="46.21875" style="96" customWidth="1"/>
    <col min="9955" max="9955" width="18.21875" style="96" customWidth="1"/>
    <col min="9956" max="9964" width="9.21875" style="96" customWidth="1"/>
    <col min="9965" max="9978" width="8.77734375" style="96"/>
    <col min="9979" max="9979" width="7.77734375" style="96" customWidth="1"/>
    <col min="9980" max="9980" width="20.77734375" style="96" bestFit="1" customWidth="1"/>
    <col min="9981" max="9981" width="41.21875" style="96" customWidth="1"/>
    <col min="9982" max="9982" width="21" style="96" customWidth="1"/>
    <col min="9983" max="10207" width="9.21875" style="96" customWidth="1"/>
    <col min="10208" max="10208" width="18.5546875" style="96" customWidth="1"/>
    <col min="10209" max="10209" width="4.77734375" style="96" customWidth="1"/>
    <col min="10210" max="10210" width="46.21875" style="96" customWidth="1"/>
    <col min="10211" max="10211" width="18.21875" style="96" customWidth="1"/>
    <col min="10212" max="10220" width="9.21875" style="96" customWidth="1"/>
    <col min="10221" max="10234" width="8.77734375" style="96"/>
    <col min="10235" max="10235" width="7.77734375" style="96" customWidth="1"/>
    <col min="10236" max="10236" width="20.77734375" style="96" bestFit="1" customWidth="1"/>
    <col min="10237" max="10237" width="41.21875" style="96" customWidth="1"/>
    <col min="10238" max="10238" width="21" style="96" customWidth="1"/>
    <col min="10239" max="10463" width="9.21875" style="96" customWidth="1"/>
    <col min="10464" max="10464" width="18.5546875" style="96" customWidth="1"/>
    <col min="10465" max="10465" width="4.77734375" style="96" customWidth="1"/>
    <col min="10466" max="10466" width="46.21875" style="96" customWidth="1"/>
    <col min="10467" max="10467" width="18.21875" style="96" customWidth="1"/>
    <col min="10468" max="10476" width="9.21875" style="96" customWidth="1"/>
    <col min="10477" max="10490" width="8.77734375" style="96"/>
    <col min="10491" max="10491" width="7.77734375" style="96" customWidth="1"/>
    <col min="10492" max="10492" width="20.77734375" style="96" bestFit="1" customWidth="1"/>
    <col min="10493" max="10493" width="41.21875" style="96" customWidth="1"/>
    <col min="10494" max="10494" width="21" style="96" customWidth="1"/>
    <col min="10495" max="10719" width="9.21875" style="96" customWidth="1"/>
    <col min="10720" max="10720" width="18.5546875" style="96" customWidth="1"/>
    <col min="10721" max="10721" width="4.77734375" style="96" customWidth="1"/>
    <col min="10722" max="10722" width="46.21875" style="96" customWidth="1"/>
    <col min="10723" max="10723" width="18.21875" style="96" customWidth="1"/>
    <col min="10724" max="10732" width="9.21875" style="96" customWidth="1"/>
    <col min="10733" max="10746" width="8.77734375" style="96"/>
    <col min="10747" max="10747" width="7.77734375" style="96" customWidth="1"/>
    <col min="10748" max="10748" width="20.77734375" style="96" bestFit="1" customWidth="1"/>
    <col min="10749" max="10749" width="41.21875" style="96" customWidth="1"/>
    <col min="10750" max="10750" width="21" style="96" customWidth="1"/>
    <col min="10751" max="10975" width="9.21875" style="96" customWidth="1"/>
    <col min="10976" max="10976" width="18.5546875" style="96" customWidth="1"/>
    <col min="10977" max="10977" width="4.77734375" style="96" customWidth="1"/>
    <col min="10978" max="10978" width="46.21875" style="96" customWidth="1"/>
    <col min="10979" max="10979" width="18.21875" style="96" customWidth="1"/>
    <col min="10980" max="10988" width="9.21875" style="96" customWidth="1"/>
    <col min="10989" max="11002" width="8.77734375" style="96"/>
    <col min="11003" max="11003" width="7.77734375" style="96" customWidth="1"/>
    <col min="11004" max="11004" width="20.77734375" style="96" bestFit="1" customWidth="1"/>
    <col min="11005" max="11005" width="41.21875" style="96" customWidth="1"/>
    <col min="11006" max="11006" width="21" style="96" customWidth="1"/>
    <col min="11007" max="11231" width="9.21875" style="96" customWidth="1"/>
    <col min="11232" max="11232" width="18.5546875" style="96" customWidth="1"/>
    <col min="11233" max="11233" width="4.77734375" style="96" customWidth="1"/>
    <col min="11234" max="11234" width="46.21875" style="96" customWidth="1"/>
    <col min="11235" max="11235" width="18.21875" style="96" customWidth="1"/>
    <col min="11236" max="11244" width="9.21875" style="96" customWidth="1"/>
    <col min="11245" max="11258" width="8.77734375" style="96"/>
    <col min="11259" max="11259" width="7.77734375" style="96" customWidth="1"/>
    <col min="11260" max="11260" width="20.77734375" style="96" bestFit="1" customWidth="1"/>
    <col min="11261" max="11261" width="41.21875" style="96" customWidth="1"/>
    <col min="11262" max="11262" width="21" style="96" customWidth="1"/>
    <col min="11263" max="11487" width="9.21875" style="96" customWidth="1"/>
    <col min="11488" max="11488" width="18.5546875" style="96" customWidth="1"/>
    <col min="11489" max="11489" width="4.77734375" style="96" customWidth="1"/>
    <col min="11490" max="11490" width="46.21875" style="96" customWidth="1"/>
    <col min="11491" max="11491" width="18.21875" style="96" customWidth="1"/>
    <col min="11492" max="11500" width="9.21875" style="96" customWidth="1"/>
    <col min="11501" max="11514" width="8.77734375" style="96"/>
    <col min="11515" max="11515" width="7.77734375" style="96" customWidth="1"/>
    <col min="11516" max="11516" width="20.77734375" style="96" bestFit="1" customWidth="1"/>
    <col min="11517" max="11517" width="41.21875" style="96" customWidth="1"/>
    <col min="11518" max="11518" width="21" style="96" customWidth="1"/>
    <col min="11519" max="11743" width="9.21875" style="96" customWidth="1"/>
    <col min="11744" max="11744" width="18.5546875" style="96" customWidth="1"/>
    <col min="11745" max="11745" width="4.77734375" style="96" customWidth="1"/>
    <col min="11746" max="11746" width="46.21875" style="96" customWidth="1"/>
    <col min="11747" max="11747" width="18.21875" style="96" customWidth="1"/>
    <col min="11748" max="11756" width="9.21875" style="96" customWidth="1"/>
    <col min="11757" max="11770" width="8.77734375" style="96"/>
    <col min="11771" max="11771" width="7.77734375" style="96" customWidth="1"/>
    <col min="11772" max="11772" width="20.77734375" style="96" bestFit="1" customWidth="1"/>
    <col min="11773" max="11773" width="41.21875" style="96" customWidth="1"/>
    <col min="11774" max="11774" width="21" style="96" customWidth="1"/>
    <col min="11775" max="11999" width="9.21875" style="96" customWidth="1"/>
    <col min="12000" max="12000" width="18.5546875" style="96" customWidth="1"/>
    <col min="12001" max="12001" width="4.77734375" style="96" customWidth="1"/>
    <col min="12002" max="12002" width="46.21875" style="96" customWidth="1"/>
    <col min="12003" max="12003" width="18.21875" style="96" customWidth="1"/>
    <col min="12004" max="12012" width="9.21875" style="96" customWidth="1"/>
    <col min="12013" max="12026" width="8.77734375" style="96"/>
    <col min="12027" max="12027" width="7.77734375" style="96" customWidth="1"/>
    <col min="12028" max="12028" width="20.77734375" style="96" bestFit="1" customWidth="1"/>
    <col min="12029" max="12029" width="41.21875" style="96" customWidth="1"/>
    <col min="12030" max="12030" width="21" style="96" customWidth="1"/>
    <col min="12031" max="12255" width="9.21875" style="96" customWidth="1"/>
    <col min="12256" max="12256" width="18.5546875" style="96" customWidth="1"/>
    <col min="12257" max="12257" width="4.77734375" style="96" customWidth="1"/>
    <col min="12258" max="12258" width="46.21875" style="96" customWidth="1"/>
    <col min="12259" max="12259" width="18.21875" style="96" customWidth="1"/>
    <col min="12260" max="12268" width="9.21875" style="96" customWidth="1"/>
    <col min="12269" max="12282" width="8.77734375" style="96"/>
    <col min="12283" max="12283" width="7.77734375" style="96" customWidth="1"/>
    <col min="12284" max="12284" width="20.77734375" style="96" bestFit="1" customWidth="1"/>
    <col min="12285" max="12285" width="41.21875" style="96" customWidth="1"/>
    <col min="12286" max="12286" width="21" style="96" customWidth="1"/>
    <col min="12287" max="12511" width="9.21875" style="96" customWidth="1"/>
    <col min="12512" max="12512" width="18.5546875" style="96" customWidth="1"/>
    <col min="12513" max="12513" width="4.77734375" style="96" customWidth="1"/>
    <col min="12514" max="12514" width="46.21875" style="96" customWidth="1"/>
    <col min="12515" max="12515" width="18.21875" style="96" customWidth="1"/>
    <col min="12516" max="12524" width="9.21875" style="96" customWidth="1"/>
    <col min="12525" max="12538" width="8.77734375" style="96"/>
    <col min="12539" max="12539" width="7.77734375" style="96" customWidth="1"/>
    <col min="12540" max="12540" width="20.77734375" style="96" bestFit="1" customWidth="1"/>
    <col min="12541" max="12541" width="41.21875" style="96" customWidth="1"/>
    <col min="12542" max="12542" width="21" style="96" customWidth="1"/>
    <col min="12543" max="12767" width="9.21875" style="96" customWidth="1"/>
    <col min="12768" max="12768" width="18.5546875" style="96" customWidth="1"/>
    <col min="12769" max="12769" width="4.77734375" style="96" customWidth="1"/>
    <col min="12770" max="12770" width="46.21875" style="96" customWidth="1"/>
    <col min="12771" max="12771" width="18.21875" style="96" customWidth="1"/>
    <col min="12772" max="12780" width="9.21875" style="96" customWidth="1"/>
    <col min="12781" max="12794" width="8.77734375" style="96"/>
    <col min="12795" max="12795" width="7.77734375" style="96" customWidth="1"/>
    <col min="12796" max="12796" width="20.77734375" style="96" bestFit="1" customWidth="1"/>
    <col min="12797" max="12797" width="41.21875" style="96" customWidth="1"/>
    <col min="12798" max="12798" width="21" style="96" customWidth="1"/>
    <col min="12799" max="13023" width="9.21875" style="96" customWidth="1"/>
    <col min="13024" max="13024" width="18.5546875" style="96" customWidth="1"/>
    <col min="13025" max="13025" width="4.77734375" style="96" customWidth="1"/>
    <col min="13026" max="13026" width="46.21875" style="96" customWidth="1"/>
    <col min="13027" max="13027" width="18.21875" style="96" customWidth="1"/>
    <col min="13028" max="13036" width="9.21875" style="96" customWidth="1"/>
    <col min="13037" max="13050" width="8.77734375" style="96"/>
    <col min="13051" max="13051" width="7.77734375" style="96" customWidth="1"/>
    <col min="13052" max="13052" width="20.77734375" style="96" bestFit="1" customWidth="1"/>
    <col min="13053" max="13053" width="41.21875" style="96" customWidth="1"/>
    <col min="13054" max="13054" width="21" style="96" customWidth="1"/>
    <col min="13055" max="13279" width="9.21875" style="96" customWidth="1"/>
    <col min="13280" max="13280" width="18.5546875" style="96" customWidth="1"/>
    <col min="13281" max="13281" width="4.77734375" style="96" customWidth="1"/>
    <col min="13282" max="13282" width="46.21875" style="96" customWidth="1"/>
    <col min="13283" max="13283" width="18.21875" style="96" customWidth="1"/>
    <col min="13284" max="13292" width="9.21875" style="96" customWidth="1"/>
    <col min="13293" max="13306" width="8.77734375" style="96"/>
    <col min="13307" max="13307" width="7.77734375" style="96" customWidth="1"/>
    <col min="13308" max="13308" width="20.77734375" style="96" bestFit="1" customWidth="1"/>
    <col min="13309" max="13309" width="41.21875" style="96" customWidth="1"/>
    <col min="13310" max="13310" width="21" style="96" customWidth="1"/>
    <col min="13311" max="13535" width="9.21875" style="96" customWidth="1"/>
    <col min="13536" max="13536" width="18.5546875" style="96" customWidth="1"/>
    <col min="13537" max="13537" width="4.77734375" style="96" customWidth="1"/>
    <col min="13538" max="13538" width="46.21875" style="96" customWidth="1"/>
    <col min="13539" max="13539" width="18.21875" style="96" customWidth="1"/>
    <col min="13540" max="13548" width="9.21875" style="96" customWidth="1"/>
    <col min="13549" max="13562" width="8.77734375" style="96"/>
    <col min="13563" max="13563" width="7.77734375" style="96" customWidth="1"/>
    <col min="13564" max="13564" width="20.77734375" style="96" bestFit="1" customWidth="1"/>
    <col min="13565" max="13565" width="41.21875" style="96" customWidth="1"/>
    <col min="13566" max="13566" width="21" style="96" customWidth="1"/>
    <col min="13567" max="13791" width="9.21875" style="96" customWidth="1"/>
    <col min="13792" max="13792" width="18.5546875" style="96" customWidth="1"/>
    <col min="13793" max="13793" width="4.77734375" style="96" customWidth="1"/>
    <col min="13794" max="13794" width="46.21875" style="96" customWidth="1"/>
    <col min="13795" max="13795" width="18.21875" style="96" customWidth="1"/>
    <col min="13796" max="13804" width="9.21875" style="96" customWidth="1"/>
    <col min="13805" max="13818" width="8.77734375" style="96"/>
    <col min="13819" max="13819" width="7.77734375" style="96" customWidth="1"/>
    <col min="13820" max="13820" width="20.77734375" style="96" bestFit="1" customWidth="1"/>
    <col min="13821" max="13821" width="41.21875" style="96" customWidth="1"/>
    <col min="13822" max="13822" width="21" style="96" customWidth="1"/>
    <col min="13823" max="14047" width="9.21875" style="96" customWidth="1"/>
    <col min="14048" max="14048" width="18.5546875" style="96" customWidth="1"/>
    <col min="14049" max="14049" width="4.77734375" style="96" customWidth="1"/>
    <col min="14050" max="14050" width="46.21875" style="96" customWidth="1"/>
    <col min="14051" max="14051" width="18.21875" style="96" customWidth="1"/>
    <col min="14052" max="14060" width="9.21875" style="96" customWidth="1"/>
    <col min="14061" max="14074" width="8.77734375" style="96"/>
    <col min="14075" max="14075" width="7.77734375" style="96" customWidth="1"/>
    <col min="14076" max="14076" width="20.77734375" style="96" bestFit="1" customWidth="1"/>
    <col min="14077" max="14077" width="41.21875" style="96" customWidth="1"/>
    <col min="14078" max="14078" width="21" style="96" customWidth="1"/>
    <col min="14079" max="14303" width="9.21875" style="96" customWidth="1"/>
    <col min="14304" max="14304" width="18.5546875" style="96" customWidth="1"/>
    <col min="14305" max="14305" width="4.77734375" style="96" customWidth="1"/>
    <col min="14306" max="14306" width="46.21875" style="96" customWidth="1"/>
    <col min="14307" max="14307" width="18.21875" style="96" customWidth="1"/>
    <col min="14308" max="14316" width="9.21875" style="96" customWidth="1"/>
    <col min="14317" max="14330" width="8.77734375" style="96"/>
    <col min="14331" max="14331" width="7.77734375" style="96" customWidth="1"/>
    <col min="14332" max="14332" width="20.77734375" style="96" bestFit="1" customWidth="1"/>
    <col min="14333" max="14333" width="41.21875" style="96" customWidth="1"/>
    <col min="14334" max="14334" width="21" style="96" customWidth="1"/>
    <col min="14335" max="14559" width="9.21875" style="96" customWidth="1"/>
    <col min="14560" max="14560" width="18.5546875" style="96" customWidth="1"/>
    <col min="14561" max="14561" width="4.77734375" style="96" customWidth="1"/>
    <col min="14562" max="14562" width="46.21875" style="96" customWidth="1"/>
    <col min="14563" max="14563" width="18.21875" style="96" customWidth="1"/>
    <col min="14564" max="14572" width="9.21875" style="96" customWidth="1"/>
    <col min="14573" max="14586" width="8.77734375" style="96"/>
    <col min="14587" max="14587" width="7.77734375" style="96" customWidth="1"/>
    <col min="14588" max="14588" width="20.77734375" style="96" bestFit="1" customWidth="1"/>
    <col min="14589" max="14589" width="41.21875" style="96" customWidth="1"/>
    <col min="14590" max="14590" width="21" style="96" customWidth="1"/>
    <col min="14591" max="14815" width="9.21875" style="96" customWidth="1"/>
    <col min="14816" max="14816" width="18.5546875" style="96" customWidth="1"/>
    <col min="14817" max="14817" width="4.77734375" style="96" customWidth="1"/>
    <col min="14818" max="14818" width="46.21875" style="96" customWidth="1"/>
    <col min="14819" max="14819" width="18.21875" style="96" customWidth="1"/>
    <col min="14820" max="14828" width="9.21875" style="96" customWidth="1"/>
    <col min="14829" max="14842" width="8.77734375" style="96"/>
    <col min="14843" max="14843" width="7.77734375" style="96" customWidth="1"/>
    <col min="14844" max="14844" width="20.77734375" style="96" bestFit="1" customWidth="1"/>
    <col min="14845" max="14845" width="41.21875" style="96" customWidth="1"/>
    <col min="14846" max="14846" width="21" style="96" customWidth="1"/>
    <col min="14847" max="15071" width="9.21875" style="96" customWidth="1"/>
    <col min="15072" max="15072" width="18.5546875" style="96" customWidth="1"/>
    <col min="15073" max="15073" width="4.77734375" style="96" customWidth="1"/>
    <col min="15074" max="15074" width="46.21875" style="96" customWidth="1"/>
    <col min="15075" max="15075" width="18.21875" style="96" customWidth="1"/>
    <col min="15076" max="15084" width="9.21875" style="96" customWidth="1"/>
    <col min="15085" max="15098" width="8.77734375" style="96"/>
    <col min="15099" max="15099" width="7.77734375" style="96" customWidth="1"/>
    <col min="15100" max="15100" width="20.77734375" style="96" bestFit="1" customWidth="1"/>
    <col min="15101" max="15101" width="41.21875" style="96" customWidth="1"/>
    <col min="15102" max="15102" width="21" style="96" customWidth="1"/>
    <col min="15103" max="15327" width="9.21875" style="96" customWidth="1"/>
    <col min="15328" max="15328" width="18.5546875" style="96" customWidth="1"/>
    <col min="15329" max="15329" width="4.77734375" style="96" customWidth="1"/>
    <col min="15330" max="15330" width="46.21875" style="96" customWidth="1"/>
    <col min="15331" max="15331" width="18.21875" style="96" customWidth="1"/>
    <col min="15332" max="15340" width="9.21875" style="96" customWidth="1"/>
    <col min="15341" max="15354" width="8.77734375" style="96"/>
    <col min="15355" max="15355" width="7.77734375" style="96" customWidth="1"/>
    <col min="15356" max="15356" width="20.77734375" style="96" bestFit="1" customWidth="1"/>
    <col min="15357" max="15357" width="41.21875" style="96" customWidth="1"/>
    <col min="15358" max="15358" width="21" style="96" customWidth="1"/>
    <col min="15359" max="15583" width="9.21875" style="96" customWidth="1"/>
    <col min="15584" max="15584" width="18.5546875" style="96" customWidth="1"/>
    <col min="15585" max="15585" width="4.77734375" style="96" customWidth="1"/>
    <col min="15586" max="15586" width="46.21875" style="96" customWidth="1"/>
    <col min="15587" max="15587" width="18.21875" style="96" customWidth="1"/>
    <col min="15588" max="15596" width="9.21875" style="96" customWidth="1"/>
    <col min="15597" max="15610" width="8.77734375" style="96"/>
    <col min="15611" max="15611" width="7.77734375" style="96" customWidth="1"/>
    <col min="15612" max="15612" width="20.77734375" style="96" bestFit="1" customWidth="1"/>
    <col min="15613" max="15613" width="41.21875" style="96" customWidth="1"/>
    <col min="15614" max="15614" width="21" style="96" customWidth="1"/>
    <col min="15615" max="15839" width="9.21875" style="96" customWidth="1"/>
    <col min="15840" max="15840" width="18.5546875" style="96" customWidth="1"/>
    <col min="15841" max="15841" width="4.77734375" style="96" customWidth="1"/>
    <col min="15842" max="15842" width="46.21875" style="96" customWidth="1"/>
    <col min="15843" max="15843" width="18.21875" style="96" customWidth="1"/>
    <col min="15844" max="15852" width="9.21875" style="96" customWidth="1"/>
    <col min="15853" max="15866" width="8.77734375" style="96"/>
    <col min="15867" max="15867" width="7.77734375" style="96" customWidth="1"/>
    <col min="15868" max="15868" width="20.77734375" style="96" bestFit="1" customWidth="1"/>
    <col min="15869" max="15869" width="41.21875" style="96" customWidth="1"/>
    <col min="15870" max="15870" width="21" style="96" customWidth="1"/>
    <col min="15871" max="16095" width="9.21875" style="96" customWidth="1"/>
    <col min="16096" max="16096" width="18.5546875" style="96" customWidth="1"/>
    <col min="16097" max="16097" width="4.77734375" style="96" customWidth="1"/>
    <col min="16098" max="16098" width="46.21875" style="96" customWidth="1"/>
    <col min="16099" max="16099" width="18.21875" style="96" customWidth="1"/>
    <col min="16100" max="16108" width="9.21875" style="96" customWidth="1"/>
    <col min="16109" max="16122" width="8.77734375" style="96"/>
    <col min="16123" max="16123" width="7.77734375" style="96" customWidth="1"/>
    <col min="16124" max="16124" width="20.77734375" style="96" bestFit="1" customWidth="1"/>
    <col min="16125" max="16125" width="41.21875" style="96" customWidth="1"/>
    <col min="16126" max="16126" width="21" style="96" customWidth="1"/>
    <col min="16127" max="16351" width="9.21875" style="96" customWidth="1"/>
    <col min="16352" max="16352" width="18.5546875" style="96" customWidth="1"/>
    <col min="16353" max="16353" width="4.77734375" style="96" customWidth="1"/>
    <col min="16354" max="16354" width="46.21875" style="96" customWidth="1"/>
    <col min="16355" max="16355" width="18.21875" style="96" customWidth="1"/>
    <col min="16356" max="16364" width="9.21875" style="96" customWidth="1"/>
    <col min="16365" max="16384" width="8.77734375" style="96"/>
  </cols>
  <sheetData>
    <row r="1" spans="1:236" s="105" customFormat="1" ht="82.5" customHeight="1" thickBot="1" x14ac:dyDescent="0.35">
      <c r="A1" s="290"/>
      <c r="B1" s="291"/>
      <c r="C1" s="292"/>
    </row>
    <row r="2" spans="1:236" ht="26.55" customHeight="1" x14ac:dyDescent="0.3">
      <c r="A2" s="296" t="s">
        <v>365</v>
      </c>
      <c r="B2" s="297"/>
      <c r="C2" s="298"/>
    </row>
    <row r="3" spans="1:236" ht="26.55" customHeight="1" thickBot="1" x14ac:dyDescent="0.35">
      <c r="A3" s="145" t="s">
        <v>358</v>
      </c>
      <c r="B3" s="146" t="s">
        <v>409</v>
      </c>
      <c r="C3" s="147" t="s">
        <v>410</v>
      </c>
    </row>
    <row r="4" spans="1:236" ht="14.4" x14ac:dyDescent="0.3">
      <c r="A4" s="144"/>
      <c r="B4" s="144"/>
      <c r="C4" s="144"/>
    </row>
    <row r="5" spans="1:236" ht="14.4" x14ac:dyDescent="0.3">
      <c r="A5" s="91">
        <v>1</v>
      </c>
      <c r="B5" s="92" t="s">
        <v>359</v>
      </c>
      <c r="C5" s="93"/>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6"/>
      <c r="EJ5" s="106"/>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6"/>
      <c r="FO5" s="106"/>
      <c r="FP5" s="106"/>
      <c r="FQ5" s="106"/>
      <c r="FR5" s="106"/>
      <c r="FS5" s="106"/>
      <c r="FT5" s="106"/>
      <c r="FU5" s="106"/>
      <c r="FV5" s="106"/>
      <c r="FW5" s="106"/>
      <c r="FX5" s="106"/>
      <c r="FY5" s="106"/>
      <c r="FZ5" s="106"/>
      <c r="GA5" s="106"/>
      <c r="GB5" s="106"/>
      <c r="GC5" s="106"/>
      <c r="GD5" s="106"/>
      <c r="GE5" s="106"/>
      <c r="GF5" s="106"/>
      <c r="GG5" s="106"/>
      <c r="GH5" s="106"/>
      <c r="GI5" s="106"/>
      <c r="GJ5" s="106"/>
      <c r="GK5" s="106"/>
      <c r="GL5" s="106"/>
      <c r="GM5" s="106"/>
      <c r="GN5" s="106"/>
      <c r="GO5" s="106"/>
      <c r="GP5" s="106"/>
      <c r="GQ5" s="106"/>
      <c r="GR5" s="106"/>
      <c r="GS5" s="106"/>
      <c r="GT5" s="106"/>
      <c r="GU5" s="106"/>
      <c r="GV5" s="106"/>
      <c r="GW5" s="106"/>
      <c r="GX5" s="106"/>
      <c r="GY5" s="106"/>
      <c r="GZ5" s="106"/>
      <c r="HA5" s="106"/>
      <c r="HB5" s="106"/>
      <c r="HC5" s="106"/>
      <c r="HD5" s="106"/>
      <c r="HE5" s="106"/>
      <c r="HF5" s="106"/>
      <c r="HG5" s="106"/>
      <c r="HH5" s="106"/>
      <c r="HI5" s="106"/>
      <c r="HJ5" s="106"/>
      <c r="HK5" s="106"/>
      <c r="HL5" s="106"/>
      <c r="HM5" s="106"/>
      <c r="HN5" s="106"/>
      <c r="HO5" s="106"/>
      <c r="HP5" s="106"/>
      <c r="HQ5" s="106"/>
      <c r="HR5" s="106"/>
      <c r="HS5" s="106"/>
      <c r="HT5" s="106"/>
      <c r="HU5" s="106"/>
      <c r="HV5" s="106"/>
      <c r="HW5" s="106"/>
      <c r="HX5" s="106"/>
      <c r="HY5" s="106"/>
      <c r="HZ5" s="106"/>
      <c r="IA5" s="106"/>
      <c r="IB5" s="106"/>
    </row>
    <row r="6" spans="1:236" ht="14.4" x14ac:dyDescent="0.3">
      <c r="A6" s="91"/>
      <c r="B6" s="92"/>
      <c r="C6" s="94"/>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106"/>
      <c r="CB6" s="106"/>
      <c r="CC6" s="106"/>
      <c r="CD6" s="106"/>
      <c r="CE6" s="106"/>
      <c r="CF6" s="106"/>
      <c r="CG6" s="106"/>
      <c r="CH6" s="106"/>
      <c r="CI6" s="106"/>
      <c r="CJ6" s="106"/>
      <c r="CK6" s="106"/>
      <c r="CL6" s="106"/>
      <c r="CM6" s="106"/>
      <c r="CN6" s="106"/>
      <c r="CO6" s="106"/>
      <c r="CP6" s="106"/>
      <c r="CQ6" s="106"/>
      <c r="CR6" s="106"/>
      <c r="CS6" s="106"/>
      <c r="CT6" s="106"/>
      <c r="CU6" s="106"/>
      <c r="CV6" s="106"/>
      <c r="CW6" s="106"/>
      <c r="CX6" s="106"/>
      <c r="CY6" s="106"/>
      <c r="CZ6" s="106"/>
      <c r="DA6" s="106"/>
      <c r="DB6" s="106"/>
      <c r="DC6" s="106"/>
      <c r="DD6" s="106"/>
      <c r="DE6" s="106"/>
      <c r="DF6" s="106"/>
      <c r="DG6" s="106"/>
      <c r="DH6" s="106"/>
      <c r="DI6" s="106"/>
      <c r="DJ6" s="106"/>
      <c r="DK6" s="106"/>
      <c r="DL6" s="106"/>
      <c r="DM6" s="106"/>
      <c r="DN6" s="106"/>
      <c r="DO6" s="106"/>
      <c r="DP6" s="106"/>
      <c r="DQ6" s="106"/>
      <c r="DR6" s="106"/>
      <c r="DS6" s="106"/>
      <c r="DT6" s="106"/>
      <c r="DU6" s="106"/>
      <c r="DV6" s="106"/>
      <c r="DW6" s="106"/>
      <c r="DX6" s="106"/>
      <c r="DY6" s="106"/>
      <c r="DZ6" s="106"/>
      <c r="EA6" s="106"/>
      <c r="EB6" s="106"/>
      <c r="EC6" s="106"/>
      <c r="ED6" s="106"/>
      <c r="EE6" s="106"/>
      <c r="EF6" s="106"/>
      <c r="EG6" s="106"/>
      <c r="EH6" s="106"/>
      <c r="EI6" s="106"/>
      <c r="EJ6" s="106"/>
      <c r="EK6" s="106"/>
      <c r="EL6" s="106"/>
      <c r="EM6" s="106"/>
      <c r="EN6" s="106"/>
      <c r="EO6" s="106"/>
      <c r="EP6" s="106"/>
      <c r="EQ6" s="106"/>
      <c r="ER6" s="106"/>
      <c r="ES6" s="106"/>
      <c r="ET6" s="106"/>
      <c r="EU6" s="106"/>
      <c r="EV6" s="106"/>
      <c r="EW6" s="106"/>
      <c r="EX6" s="106"/>
      <c r="EY6" s="106"/>
      <c r="EZ6" s="106"/>
      <c r="FA6" s="106"/>
      <c r="FB6" s="106"/>
      <c r="FC6" s="106"/>
      <c r="FD6" s="106"/>
      <c r="FE6" s="106"/>
      <c r="FF6" s="106"/>
      <c r="FG6" s="106"/>
      <c r="FH6" s="106"/>
      <c r="FI6" s="106"/>
      <c r="FJ6" s="106"/>
      <c r="FK6" s="106"/>
      <c r="FL6" s="106"/>
      <c r="FM6" s="106"/>
      <c r="FN6" s="106"/>
      <c r="FO6" s="106"/>
      <c r="FP6" s="106"/>
      <c r="FQ6" s="106"/>
      <c r="FR6" s="106"/>
      <c r="FS6" s="106"/>
      <c r="FT6" s="106"/>
      <c r="FU6" s="106"/>
      <c r="FV6" s="106"/>
      <c r="FW6" s="106"/>
      <c r="FX6" s="106"/>
      <c r="FY6" s="106"/>
      <c r="FZ6" s="106"/>
      <c r="GA6" s="106"/>
      <c r="GB6" s="106"/>
      <c r="GC6" s="106"/>
      <c r="GD6" s="106"/>
      <c r="GE6" s="106"/>
      <c r="GF6" s="106"/>
      <c r="GG6" s="106"/>
      <c r="GH6" s="106"/>
      <c r="GI6" s="106"/>
      <c r="GJ6" s="106"/>
      <c r="GK6" s="106"/>
      <c r="GL6" s="106"/>
      <c r="GM6" s="106"/>
      <c r="GN6" s="106"/>
      <c r="GO6" s="106"/>
      <c r="GP6" s="106"/>
      <c r="GQ6" s="106"/>
      <c r="GR6" s="106"/>
      <c r="GS6" s="106"/>
      <c r="GT6" s="106"/>
      <c r="GU6" s="106"/>
      <c r="GV6" s="106"/>
      <c r="GW6" s="106"/>
      <c r="GX6" s="106"/>
      <c r="GY6" s="106"/>
      <c r="GZ6" s="106"/>
      <c r="HA6" s="106"/>
      <c r="HB6" s="106"/>
      <c r="HC6" s="106"/>
      <c r="HD6" s="106"/>
      <c r="HE6" s="106"/>
      <c r="HF6" s="106"/>
      <c r="HG6" s="106"/>
      <c r="HH6" s="106"/>
      <c r="HI6" s="106"/>
      <c r="HJ6" s="106"/>
      <c r="HK6" s="106"/>
      <c r="HL6" s="106"/>
      <c r="HM6" s="106"/>
      <c r="HN6" s="106"/>
      <c r="HO6" s="106"/>
      <c r="HP6" s="106"/>
      <c r="HQ6" s="106"/>
      <c r="HR6" s="106"/>
      <c r="HS6" s="106"/>
      <c r="HT6" s="106"/>
      <c r="HU6" s="106"/>
      <c r="HV6" s="106"/>
      <c r="HW6" s="106"/>
      <c r="HX6" s="106"/>
      <c r="HY6" s="106"/>
      <c r="HZ6" s="106"/>
      <c r="IA6" s="106"/>
      <c r="IB6" s="106"/>
    </row>
    <row r="7" spans="1:236" ht="14.4" x14ac:dyDescent="0.3">
      <c r="A7" s="91">
        <v>2</v>
      </c>
      <c r="B7" s="92" t="s">
        <v>360</v>
      </c>
      <c r="C7" s="95"/>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106"/>
      <c r="CB7" s="106"/>
      <c r="CC7" s="106"/>
      <c r="CD7" s="106"/>
      <c r="CE7" s="106"/>
      <c r="CF7" s="106"/>
      <c r="CG7" s="106"/>
      <c r="CH7" s="106"/>
      <c r="CI7" s="106"/>
      <c r="CJ7" s="106"/>
      <c r="CK7" s="106"/>
      <c r="CL7" s="106"/>
      <c r="CM7" s="106"/>
      <c r="CN7" s="106"/>
      <c r="CO7" s="106"/>
      <c r="CP7" s="106"/>
      <c r="CQ7" s="106"/>
      <c r="CR7" s="106"/>
      <c r="CS7" s="106"/>
      <c r="CT7" s="106"/>
      <c r="CU7" s="106"/>
      <c r="CV7" s="106"/>
      <c r="CW7" s="106"/>
      <c r="CX7" s="106"/>
      <c r="CY7" s="106"/>
      <c r="CZ7" s="106"/>
      <c r="DA7" s="106"/>
      <c r="DB7" s="106"/>
      <c r="DC7" s="106"/>
      <c r="DD7" s="106"/>
      <c r="DE7" s="106"/>
      <c r="DF7" s="106"/>
      <c r="DG7" s="106"/>
      <c r="DH7" s="106"/>
      <c r="DI7" s="106"/>
      <c r="DJ7" s="106"/>
      <c r="DK7" s="106"/>
      <c r="DL7" s="106"/>
      <c r="DM7" s="106"/>
      <c r="DN7" s="106"/>
      <c r="DO7" s="106"/>
      <c r="DP7" s="106"/>
      <c r="DQ7" s="106"/>
      <c r="DR7" s="106"/>
      <c r="DS7" s="106"/>
      <c r="DT7" s="106"/>
      <c r="DU7" s="106"/>
      <c r="DV7" s="106"/>
      <c r="DW7" s="106"/>
      <c r="DX7" s="106"/>
      <c r="DY7" s="106"/>
      <c r="DZ7" s="106"/>
      <c r="EA7" s="106"/>
      <c r="EB7" s="106"/>
      <c r="EC7" s="106"/>
      <c r="ED7" s="106"/>
      <c r="EE7" s="106"/>
      <c r="EF7" s="106"/>
      <c r="EG7" s="106"/>
      <c r="EH7" s="106"/>
      <c r="EI7" s="106"/>
      <c r="EJ7" s="106"/>
      <c r="EK7" s="106"/>
      <c r="EL7" s="106"/>
      <c r="EM7" s="106"/>
      <c r="EN7" s="106"/>
      <c r="EO7" s="106"/>
      <c r="EP7" s="106"/>
      <c r="EQ7" s="106"/>
      <c r="ER7" s="106"/>
      <c r="ES7" s="106"/>
      <c r="ET7" s="106"/>
      <c r="EU7" s="106"/>
      <c r="EV7" s="106"/>
      <c r="EW7" s="106"/>
      <c r="EX7" s="106"/>
      <c r="EY7" s="106"/>
      <c r="EZ7" s="106"/>
      <c r="FA7" s="106"/>
      <c r="FB7" s="106"/>
      <c r="FC7" s="106"/>
      <c r="FD7" s="106"/>
      <c r="FE7" s="106"/>
      <c r="FF7" s="106"/>
      <c r="FG7" s="106"/>
      <c r="FH7" s="106"/>
      <c r="FI7" s="106"/>
      <c r="FJ7" s="106"/>
      <c r="FK7" s="106"/>
      <c r="FL7" s="106"/>
      <c r="FM7" s="106"/>
      <c r="FN7" s="106"/>
      <c r="FO7" s="106"/>
      <c r="FP7" s="106"/>
      <c r="FQ7" s="106"/>
      <c r="FR7" s="106"/>
      <c r="FS7" s="106"/>
      <c r="FT7" s="106"/>
      <c r="FU7" s="106"/>
      <c r="FV7" s="106"/>
      <c r="FW7" s="106"/>
      <c r="FX7" s="106"/>
      <c r="FY7" s="106"/>
      <c r="FZ7" s="106"/>
      <c r="GA7" s="106"/>
      <c r="GB7" s="106"/>
      <c r="GC7" s="106"/>
      <c r="GD7" s="106"/>
      <c r="GE7" s="106"/>
      <c r="GF7" s="106"/>
      <c r="GG7" s="106"/>
      <c r="GH7" s="106"/>
      <c r="GI7" s="106"/>
      <c r="GJ7" s="106"/>
      <c r="GK7" s="106"/>
      <c r="GL7" s="106"/>
      <c r="GM7" s="106"/>
      <c r="GN7" s="106"/>
      <c r="GO7" s="106"/>
      <c r="GP7" s="106"/>
      <c r="GQ7" s="106"/>
      <c r="GR7" s="106"/>
      <c r="GS7" s="106"/>
      <c r="GT7" s="106"/>
      <c r="GU7" s="106"/>
      <c r="GV7" s="106"/>
      <c r="GW7" s="106"/>
      <c r="GX7" s="106"/>
      <c r="GY7" s="106"/>
      <c r="GZ7" s="106"/>
      <c r="HA7" s="106"/>
      <c r="HB7" s="106"/>
      <c r="HC7" s="106"/>
      <c r="HD7" s="106"/>
      <c r="HE7" s="106"/>
      <c r="HF7" s="106"/>
      <c r="HG7" s="106"/>
      <c r="HH7" s="106"/>
      <c r="HI7" s="106"/>
      <c r="HJ7" s="106"/>
      <c r="HK7" s="106"/>
      <c r="HL7" s="106"/>
      <c r="HM7" s="106"/>
      <c r="HN7" s="106"/>
      <c r="HO7" s="106"/>
      <c r="HP7" s="106"/>
      <c r="HQ7" s="106"/>
      <c r="HR7" s="106"/>
      <c r="HS7" s="106"/>
      <c r="HT7" s="106"/>
      <c r="HU7" s="106"/>
      <c r="HV7" s="106"/>
      <c r="HW7" s="106"/>
      <c r="HX7" s="106"/>
      <c r="HY7" s="106"/>
      <c r="HZ7" s="106"/>
      <c r="IA7" s="106"/>
      <c r="IB7" s="106"/>
    </row>
    <row r="8" spans="1:236" ht="14.4" x14ac:dyDescent="0.3">
      <c r="A8" s="91"/>
      <c r="B8" s="92"/>
      <c r="C8" s="95"/>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c r="CT8" s="106"/>
      <c r="CU8" s="106"/>
      <c r="CV8" s="106"/>
      <c r="CW8" s="106"/>
      <c r="CX8" s="106"/>
      <c r="CY8" s="106"/>
      <c r="CZ8" s="106"/>
      <c r="DA8" s="106"/>
      <c r="DB8" s="106"/>
      <c r="DC8" s="106"/>
      <c r="DD8" s="106"/>
      <c r="DE8" s="106"/>
      <c r="DF8" s="106"/>
      <c r="DG8" s="106"/>
      <c r="DH8" s="106"/>
      <c r="DI8" s="106"/>
      <c r="DJ8" s="106"/>
      <c r="DK8" s="106"/>
      <c r="DL8" s="106"/>
      <c r="DM8" s="106"/>
      <c r="DN8" s="106"/>
      <c r="DO8" s="106"/>
      <c r="DP8" s="106"/>
      <c r="DQ8" s="106"/>
      <c r="DR8" s="106"/>
      <c r="DS8" s="106"/>
      <c r="DT8" s="106"/>
      <c r="DU8" s="106"/>
      <c r="DV8" s="106"/>
      <c r="DW8" s="106"/>
      <c r="DX8" s="106"/>
      <c r="DY8" s="106"/>
      <c r="DZ8" s="106"/>
      <c r="EA8" s="106"/>
      <c r="EB8" s="106"/>
      <c r="EC8" s="106"/>
      <c r="ED8" s="106"/>
      <c r="EE8" s="106"/>
      <c r="EF8" s="106"/>
      <c r="EG8" s="106"/>
      <c r="EH8" s="106"/>
      <c r="EI8" s="106"/>
      <c r="EJ8" s="106"/>
      <c r="EK8" s="106"/>
      <c r="EL8" s="106"/>
      <c r="EM8" s="106"/>
      <c r="EN8" s="106"/>
      <c r="EO8" s="106"/>
      <c r="EP8" s="106"/>
      <c r="EQ8" s="106"/>
      <c r="ER8" s="106"/>
      <c r="ES8" s="106"/>
      <c r="ET8" s="106"/>
      <c r="EU8" s="106"/>
      <c r="EV8" s="106"/>
      <c r="EW8" s="106"/>
      <c r="EX8" s="106"/>
      <c r="EY8" s="106"/>
      <c r="EZ8" s="106"/>
      <c r="FA8" s="106"/>
      <c r="FB8" s="106"/>
      <c r="FC8" s="106"/>
      <c r="FD8" s="106"/>
      <c r="FE8" s="106"/>
      <c r="FF8" s="106"/>
      <c r="FG8" s="106"/>
      <c r="FH8" s="106"/>
      <c r="FI8" s="106"/>
      <c r="FJ8" s="106"/>
      <c r="FK8" s="106"/>
      <c r="FL8" s="106"/>
      <c r="FM8" s="106"/>
      <c r="FN8" s="106"/>
      <c r="FO8" s="106"/>
      <c r="FP8" s="106"/>
      <c r="FQ8" s="106"/>
      <c r="FR8" s="106"/>
      <c r="FS8" s="106"/>
      <c r="FT8" s="106"/>
      <c r="FU8" s="106"/>
      <c r="FV8" s="106"/>
      <c r="FW8" s="106"/>
      <c r="FX8" s="106"/>
      <c r="FY8" s="106"/>
      <c r="FZ8" s="106"/>
      <c r="GA8" s="106"/>
      <c r="GB8" s="106"/>
      <c r="GC8" s="106"/>
      <c r="GD8" s="106"/>
      <c r="GE8" s="106"/>
      <c r="GF8" s="106"/>
      <c r="GG8" s="106"/>
      <c r="GH8" s="106"/>
      <c r="GI8" s="106"/>
      <c r="GJ8" s="106"/>
      <c r="GK8" s="106"/>
      <c r="GL8" s="106"/>
      <c r="GM8" s="106"/>
      <c r="GN8" s="106"/>
      <c r="GO8" s="106"/>
      <c r="GP8" s="106"/>
      <c r="GQ8" s="106"/>
      <c r="GR8" s="106"/>
      <c r="GS8" s="106"/>
      <c r="GT8" s="106"/>
      <c r="GU8" s="106"/>
      <c r="GV8" s="106"/>
      <c r="GW8" s="106"/>
      <c r="GX8" s="106"/>
      <c r="GY8" s="106"/>
      <c r="GZ8" s="106"/>
      <c r="HA8" s="106"/>
      <c r="HB8" s="106"/>
      <c r="HC8" s="106"/>
      <c r="HD8" s="106"/>
      <c r="HE8" s="106"/>
      <c r="HF8" s="106"/>
      <c r="HG8" s="106"/>
      <c r="HH8" s="106"/>
      <c r="HI8" s="106"/>
      <c r="HJ8" s="106"/>
      <c r="HK8" s="106"/>
      <c r="HL8" s="106"/>
      <c r="HM8" s="106"/>
      <c r="HN8" s="106"/>
      <c r="HO8" s="106"/>
      <c r="HP8" s="106"/>
      <c r="HQ8" s="106"/>
      <c r="HR8" s="106"/>
      <c r="HS8" s="106"/>
      <c r="HT8" s="106"/>
      <c r="HU8" s="106"/>
      <c r="HV8" s="106"/>
      <c r="HW8" s="106"/>
      <c r="HX8" s="106"/>
      <c r="HY8" s="106"/>
      <c r="HZ8" s="106"/>
      <c r="IA8" s="106"/>
      <c r="IB8" s="106"/>
    </row>
    <row r="9" spans="1:236" ht="14.4" x14ac:dyDescent="0.3">
      <c r="A9" s="91">
        <v>3</v>
      </c>
      <c r="B9" s="92" t="s">
        <v>361</v>
      </c>
      <c r="C9" s="95"/>
      <c r="D9" s="107"/>
      <c r="E9" s="106"/>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c r="GG9" s="106"/>
      <c r="GH9" s="106"/>
      <c r="GI9" s="106"/>
      <c r="GJ9" s="106"/>
      <c r="GK9" s="106"/>
      <c r="GL9" s="106"/>
      <c r="GM9" s="106"/>
      <c r="GN9" s="106"/>
      <c r="GO9" s="106"/>
      <c r="GP9" s="106"/>
      <c r="GQ9" s="106"/>
      <c r="GR9" s="106"/>
      <c r="GS9" s="106"/>
      <c r="GT9" s="106"/>
      <c r="GU9" s="106"/>
      <c r="GV9" s="106"/>
      <c r="GW9" s="106"/>
      <c r="GX9" s="106"/>
      <c r="GY9" s="106"/>
      <c r="GZ9" s="106"/>
      <c r="HA9" s="106"/>
      <c r="HB9" s="106"/>
      <c r="HC9" s="106"/>
      <c r="HD9" s="106"/>
      <c r="HE9" s="106"/>
      <c r="HF9" s="106"/>
      <c r="HG9" s="106"/>
      <c r="HH9" s="106"/>
      <c r="HI9" s="106"/>
      <c r="HJ9" s="106"/>
      <c r="HK9" s="106"/>
      <c r="HL9" s="106"/>
      <c r="HM9" s="106"/>
      <c r="HN9" s="106"/>
      <c r="HO9" s="106"/>
      <c r="HP9" s="106"/>
      <c r="HQ9" s="106"/>
      <c r="HR9" s="106"/>
      <c r="HS9" s="106"/>
      <c r="HT9" s="106"/>
      <c r="HU9" s="106"/>
      <c r="HV9" s="106"/>
      <c r="HW9" s="106"/>
      <c r="HX9" s="106"/>
      <c r="HY9" s="106"/>
      <c r="HZ9" s="106"/>
      <c r="IA9" s="106"/>
      <c r="IB9" s="106"/>
    </row>
    <row r="10" spans="1:236" ht="14.4" x14ac:dyDescent="0.3">
      <c r="A10" s="91"/>
      <c r="B10" s="92"/>
      <c r="C10" s="95"/>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c r="CT10" s="106"/>
      <c r="CU10" s="106"/>
      <c r="CV10" s="106"/>
      <c r="CW10" s="106"/>
      <c r="CX10" s="106"/>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c r="DZ10" s="106"/>
      <c r="EA10" s="106"/>
      <c r="EB10" s="106"/>
      <c r="EC10" s="106"/>
      <c r="ED10" s="106"/>
      <c r="EE10" s="106"/>
      <c r="EF10" s="106"/>
      <c r="EG10" s="106"/>
      <c r="EH10" s="106"/>
      <c r="EI10" s="106"/>
      <c r="EJ10" s="106"/>
      <c r="EK10" s="106"/>
      <c r="EL10" s="106"/>
      <c r="EM10" s="106"/>
      <c r="EN10" s="106"/>
      <c r="EO10" s="106"/>
      <c r="EP10" s="106"/>
      <c r="EQ10" s="106"/>
      <c r="ER10" s="106"/>
      <c r="ES10" s="106"/>
      <c r="ET10" s="106"/>
      <c r="EU10" s="106"/>
      <c r="EV10" s="106"/>
      <c r="EW10" s="106"/>
      <c r="EX10" s="106"/>
      <c r="EY10" s="106"/>
      <c r="EZ10" s="106"/>
      <c r="FA10" s="106"/>
      <c r="FB10" s="106"/>
      <c r="FC10" s="106"/>
      <c r="FD10" s="106"/>
      <c r="FE10" s="106"/>
      <c r="FF10" s="106"/>
      <c r="FG10" s="106"/>
      <c r="FH10" s="106"/>
      <c r="FI10" s="106"/>
      <c r="FJ10" s="106"/>
      <c r="FK10" s="106"/>
      <c r="FL10" s="106"/>
      <c r="FM10" s="106"/>
      <c r="FN10" s="106"/>
      <c r="FO10" s="106"/>
      <c r="FP10" s="106"/>
      <c r="FQ10" s="106"/>
      <c r="FR10" s="106"/>
      <c r="FS10" s="106"/>
      <c r="FT10" s="106"/>
      <c r="FU10" s="106"/>
      <c r="FV10" s="106"/>
      <c r="FW10" s="106"/>
      <c r="FX10" s="106"/>
      <c r="FY10" s="106"/>
      <c r="FZ10" s="106"/>
      <c r="GA10" s="106"/>
      <c r="GB10" s="106"/>
      <c r="GC10" s="106"/>
      <c r="GD10" s="106"/>
      <c r="GE10" s="106"/>
      <c r="GF10" s="106"/>
      <c r="GG10" s="106"/>
      <c r="GH10" s="106"/>
      <c r="GI10" s="106"/>
      <c r="GJ10" s="106"/>
      <c r="GK10" s="106"/>
      <c r="GL10" s="106"/>
      <c r="GM10" s="106"/>
      <c r="GN10" s="106"/>
      <c r="GO10" s="106"/>
      <c r="GP10" s="106"/>
      <c r="GQ10" s="106"/>
      <c r="GR10" s="106"/>
      <c r="GS10" s="106"/>
      <c r="GT10" s="106"/>
      <c r="GU10" s="106"/>
      <c r="GV10" s="106"/>
      <c r="GW10" s="106"/>
      <c r="GX10" s="106"/>
      <c r="GY10" s="106"/>
      <c r="GZ10" s="106"/>
      <c r="HA10" s="106"/>
      <c r="HB10" s="106"/>
      <c r="HC10" s="106"/>
      <c r="HD10" s="106"/>
      <c r="HE10" s="106"/>
      <c r="HF10" s="106"/>
      <c r="HG10" s="106"/>
      <c r="HH10" s="106"/>
      <c r="HI10" s="106"/>
      <c r="HJ10" s="106"/>
      <c r="HK10" s="106"/>
      <c r="HL10" s="106"/>
      <c r="HM10" s="106"/>
      <c r="HN10" s="106"/>
      <c r="HO10" s="106"/>
      <c r="HP10" s="106"/>
      <c r="HQ10" s="106"/>
      <c r="HR10" s="106"/>
      <c r="HS10" s="106"/>
      <c r="HT10" s="106"/>
      <c r="HU10" s="106"/>
      <c r="HV10" s="106"/>
      <c r="HW10" s="106"/>
      <c r="HX10" s="106"/>
      <c r="HY10" s="106"/>
      <c r="HZ10" s="106"/>
      <c r="IA10" s="106"/>
      <c r="IB10" s="106"/>
    </row>
    <row r="11" spans="1:236" ht="14.4" x14ac:dyDescent="0.3">
      <c r="A11" s="91">
        <v>4</v>
      </c>
      <c r="B11" s="92" t="s">
        <v>362</v>
      </c>
      <c r="C11" s="97">
        <f>Electrical!F88+'Low Current'!F115</f>
        <v>2355553</v>
      </c>
      <c r="D11" s="106"/>
      <c r="E11" s="106"/>
      <c r="F11" s="107"/>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106"/>
      <c r="BP11" s="106"/>
      <c r="BQ11" s="106"/>
      <c r="BR11" s="106"/>
      <c r="BS11" s="106"/>
      <c r="BT11" s="106"/>
      <c r="BU11" s="106"/>
      <c r="BV11" s="106"/>
      <c r="BW11" s="106"/>
      <c r="BX11" s="106"/>
      <c r="BY11" s="106"/>
      <c r="BZ11" s="106"/>
      <c r="CA11" s="106"/>
      <c r="CB11" s="106"/>
      <c r="CC11" s="106"/>
      <c r="CD11" s="106"/>
      <c r="CE11" s="106"/>
      <c r="CF11" s="106"/>
      <c r="CG11" s="106"/>
      <c r="CH11" s="106"/>
      <c r="CI11" s="106"/>
      <c r="CJ11" s="106"/>
      <c r="CK11" s="106"/>
      <c r="CL11" s="106"/>
      <c r="CM11" s="106"/>
      <c r="CN11" s="106"/>
      <c r="CO11" s="106"/>
      <c r="CP11" s="106"/>
      <c r="CQ11" s="106"/>
      <c r="CR11" s="106"/>
      <c r="CS11" s="106"/>
      <c r="CT11" s="106"/>
      <c r="CU11" s="106"/>
      <c r="CV11" s="106"/>
      <c r="CW11" s="106"/>
      <c r="CX11" s="106"/>
      <c r="CY11" s="106"/>
      <c r="CZ11" s="106"/>
      <c r="DA11" s="106"/>
      <c r="DB11" s="106"/>
      <c r="DC11" s="106"/>
      <c r="DD11" s="106"/>
      <c r="DE11" s="106"/>
      <c r="DF11" s="106"/>
      <c r="DG11" s="106"/>
      <c r="DH11" s="106"/>
      <c r="DI11" s="106"/>
      <c r="DJ11" s="106"/>
      <c r="DK11" s="106"/>
      <c r="DL11" s="106"/>
      <c r="DM11" s="106"/>
      <c r="DN11" s="106"/>
      <c r="DO11" s="106"/>
      <c r="DP11" s="106"/>
      <c r="DQ11" s="106"/>
      <c r="DR11" s="106"/>
      <c r="DS11" s="106"/>
      <c r="DT11" s="106"/>
      <c r="DU11" s="106"/>
      <c r="DV11" s="106"/>
      <c r="DW11" s="106"/>
      <c r="DX11" s="106"/>
      <c r="DY11" s="106"/>
      <c r="DZ11" s="106"/>
      <c r="EA11" s="106"/>
      <c r="EB11" s="106"/>
      <c r="EC11" s="106"/>
      <c r="ED11" s="106"/>
      <c r="EE11" s="106"/>
      <c r="EF11" s="106"/>
      <c r="EG11" s="106"/>
      <c r="EH11" s="106"/>
      <c r="EI11" s="106"/>
      <c r="EJ11" s="106"/>
      <c r="EK11" s="106"/>
      <c r="EL11" s="106"/>
      <c r="EM11" s="106"/>
      <c r="EN11" s="106"/>
      <c r="EO11" s="106"/>
      <c r="EP11" s="106"/>
      <c r="EQ11" s="106"/>
      <c r="ER11" s="106"/>
      <c r="ES11" s="106"/>
      <c r="ET11" s="106"/>
      <c r="EU11" s="106"/>
      <c r="EV11" s="106"/>
      <c r="EW11" s="106"/>
      <c r="EX11" s="106"/>
      <c r="EY11" s="106"/>
      <c r="EZ11" s="106"/>
      <c r="FA11" s="106"/>
      <c r="FB11" s="106"/>
      <c r="FC11" s="106"/>
      <c r="FD11" s="106"/>
      <c r="FE11" s="106"/>
      <c r="FF11" s="106"/>
      <c r="FG11" s="106"/>
      <c r="FH11" s="106"/>
      <c r="FI11" s="106"/>
      <c r="FJ11" s="106"/>
      <c r="FK11" s="106"/>
      <c r="FL11" s="106"/>
      <c r="FM11" s="106"/>
      <c r="FN11" s="106"/>
      <c r="FO11" s="106"/>
      <c r="FP11" s="106"/>
      <c r="FQ11" s="106"/>
      <c r="FR11" s="106"/>
      <c r="FS11" s="106"/>
      <c r="FT11" s="106"/>
      <c r="FU11" s="106"/>
      <c r="FV11" s="106"/>
      <c r="FW11" s="106"/>
      <c r="FX11" s="106"/>
      <c r="FY11" s="106"/>
      <c r="FZ11" s="106"/>
      <c r="GA11" s="106"/>
      <c r="GB11" s="106"/>
      <c r="GC11" s="106"/>
      <c r="GD11" s="106"/>
      <c r="GE11" s="106"/>
      <c r="GF11" s="106"/>
      <c r="GG11" s="106"/>
      <c r="GH11" s="106"/>
      <c r="GI11" s="106"/>
      <c r="GJ11" s="106"/>
      <c r="GK11" s="106"/>
      <c r="GL11" s="106"/>
      <c r="GM11" s="106"/>
      <c r="GN11" s="106"/>
      <c r="GO11" s="106"/>
      <c r="GP11" s="106"/>
      <c r="GQ11" s="106"/>
      <c r="GR11" s="106"/>
      <c r="GS11" s="106"/>
      <c r="GT11" s="106"/>
      <c r="GU11" s="106"/>
      <c r="GV11" s="106"/>
      <c r="GW11" s="106"/>
      <c r="GX11" s="106"/>
      <c r="GY11" s="106"/>
      <c r="GZ11" s="106"/>
      <c r="HA11" s="106"/>
      <c r="HB11" s="106"/>
      <c r="HC11" s="106"/>
      <c r="HD11" s="106"/>
      <c r="HE11" s="106"/>
      <c r="HF11" s="106"/>
      <c r="HG11" s="106"/>
      <c r="HH11" s="106"/>
      <c r="HI11" s="106"/>
      <c r="HJ11" s="106"/>
      <c r="HK11" s="106"/>
      <c r="HL11" s="106"/>
      <c r="HM11" s="106"/>
      <c r="HN11" s="106"/>
      <c r="HO11" s="106"/>
      <c r="HP11" s="106"/>
      <c r="HQ11" s="106"/>
      <c r="HR11" s="106"/>
      <c r="HS11" s="106"/>
      <c r="HT11" s="106"/>
      <c r="HU11" s="106"/>
      <c r="HV11" s="106"/>
      <c r="HW11" s="106"/>
      <c r="HX11" s="106"/>
      <c r="HY11" s="106"/>
      <c r="HZ11" s="106"/>
      <c r="IA11" s="106"/>
      <c r="IB11" s="106"/>
    </row>
    <row r="12" spans="1:236" ht="14.4" x14ac:dyDescent="0.3">
      <c r="A12" s="91"/>
      <c r="B12" s="92"/>
      <c r="C12" s="97"/>
      <c r="D12" s="106"/>
      <c r="E12" s="106"/>
      <c r="F12" s="107"/>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c r="DZ12" s="106"/>
      <c r="EA12" s="106"/>
      <c r="EB12" s="106"/>
      <c r="EC12" s="106"/>
      <c r="ED12" s="106"/>
      <c r="EE12" s="106"/>
      <c r="EF12" s="106"/>
      <c r="EG12" s="106"/>
      <c r="EH12" s="106"/>
      <c r="EI12" s="106"/>
      <c r="EJ12" s="106"/>
      <c r="EK12" s="106"/>
      <c r="EL12" s="106"/>
      <c r="EM12" s="106"/>
      <c r="EN12" s="106"/>
      <c r="EO12" s="106"/>
      <c r="EP12" s="106"/>
      <c r="EQ12" s="106"/>
      <c r="ER12" s="106"/>
      <c r="ES12" s="106"/>
      <c r="ET12" s="106"/>
      <c r="EU12" s="106"/>
      <c r="EV12" s="106"/>
      <c r="EW12" s="106"/>
      <c r="EX12" s="106"/>
      <c r="EY12" s="106"/>
      <c r="EZ12" s="106"/>
      <c r="FA12" s="106"/>
      <c r="FB12" s="106"/>
      <c r="FC12" s="106"/>
      <c r="FD12" s="106"/>
      <c r="FE12" s="106"/>
      <c r="FF12" s="106"/>
      <c r="FG12" s="106"/>
      <c r="FH12" s="106"/>
      <c r="FI12" s="106"/>
      <c r="FJ12" s="106"/>
      <c r="FK12" s="106"/>
      <c r="FL12" s="106"/>
      <c r="FM12" s="106"/>
      <c r="FN12" s="106"/>
      <c r="FO12" s="106"/>
      <c r="FP12" s="106"/>
      <c r="FQ12" s="106"/>
      <c r="FR12" s="106"/>
      <c r="FS12" s="106"/>
      <c r="FT12" s="106"/>
      <c r="FU12" s="106"/>
      <c r="FV12" s="106"/>
      <c r="FW12" s="106"/>
      <c r="FX12" s="106"/>
      <c r="FY12" s="106"/>
      <c r="FZ12" s="106"/>
      <c r="GA12" s="106"/>
      <c r="GB12" s="106"/>
      <c r="GC12" s="106"/>
      <c r="GD12" s="106"/>
      <c r="GE12" s="106"/>
      <c r="GF12" s="106"/>
      <c r="GG12" s="106"/>
      <c r="GH12" s="106"/>
      <c r="GI12" s="106"/>
      <c r="GJ12" s="106"/>
      <c r="GK12" s="106"/>
      <c r="GL12" s="106"/>
      <c r="GM12" s="106"/>
      <c r="GN12" s="106"/>
      <c r="GO12" s="106"/>
      <c r="GP12" s="106"/>
      <c r="GQ12" s="106"/>
      <c r="GR12" s="106"/>
      <c r="GS12" s="106"/>
      <c r="GT12" s="106"/>
      <c r="GU12" s="106"/>
      <c r="GV12" s="106"/>
      <c r="GW12" s="106"/>
      <c r="GX12" s="106"/>
      <c r="GY12" s="106"/>
      <c r="GZ12" s="106"/>
      <c r="HA12" s="106"/>
      <c r="HB12" s="106"/>
      <c r="HC12" s="106"/>
      <c r="HD12" s="106"/>
      <c r="HE12" s="106"/>
      <c r="HF12" s="106"/>
      <c r="HG12" s="106"/>
      <c r="HH12" s="106"/>
      <c r="HI12" s="106"/>
      <c r="HJ12" s="106"/>
      <c r="HK12" s="106"/>
      <c r="HL12" s="106"/>
      <c r="HM12" s="106"/>
      <c r="HN12" s="106"/>
      <c r="HO12" s="106"/>
      <c r="HP12" s="106"/>
      <c r="HQ12" s="106"/>
      <c r="HR12" s="106"/>
      <c r="HS12" s="106"/>
      <c r="HT12" s="106"/>
      <c r="HU12" s="106"/>
      <c r="HV12" s="106"/>
      <c r="HW12" s="106"/>
      <c r="HX12" s="106"/>
      <c r="HY12" s="106"/>
      <c r="HZ12" s="106"/>
      <c r="IA12" s="106"/>
      <c r="IB12" s="106"/>
    </row>
    <row r="13" spans="1:236" ht="14.4" x14ac:dyDescent="0.3">
      <c r="A13" s="91"/>
      <c r="B13" s="279" t="s">
        <v>1064</v>
      </c>
      <c r="C13" s="95">
        <f>'Low Current-missing'!F124</f>
        <v>1036091</v>
      </c>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c r="CQ13" s="106"/>
      <c r="CR13" s="106"/>
      <c r="CS13" s="106"/>
      <c r="CT13" s="106"/>
      <c r="CU13" s="106"/>
      <c r="CV13" s="106"/>
      <c r="CW13" s="106"/>
      <c r="CX13" s="106"/>
      <c r="CY13" s="106"/>
      <c r="CZ13" s="106"/>
      <c r="DA13" s="106"/>
      <c r="DB13" s="106"/>
      <c r="DC13" s="106"/>
      <c r="DD13" s="106"/>
      <c r="DE13" s="106"/>
      <c r="DF13" s="106"/>
      <c r="DG13" s="106"/>
      <c r="DH13" s="106"/>
      <c r="DI13" s="106"/>
      <c r="DJ13" s="106"/>
      <c r="DK13" s="106"/>
      <c r="DL13" s="106"/>
      <c r="DM13" s="106"/>
      <c r="DN13" s="106"/>
      <c r="DO13" s="106"/>
      <c r="DP13" s="106"/>
      <c r="DQ13" s="106"/>
      <c r="DR13" s="106"/>
      <c r="DS13" s="106"/>
      <c r="DT13" s="106"/>
      <c r="DU13" s="106"/>
      <c r="DV13" s="106"/>
      <c r="DW13" s="106"/>
      <c r="DX13" s="106"/>
      <c r="DY13" s="106"/>
      <c r="DZ13" s="106"/>
      <c r="EA13" s="106"/>
      <c r="EB13" s="106"/>
      <c r="EC13" s="106"/>
      <c r="ED13" s="106"/>
      <c r="EE13" s="106"/>
      <c r="EF13" s="106"/>
      <c r="EG13" s="106"/>
      <c r="EH13" s="106"/>
      <c r="EI13" s="106"/>
      <c r="EJ13" s="106"/>
      <c r="EK13" s="106"/>
      <c r="EL13" s="106"/>
      <c r="EM13" s="106"/>
      <c r="EN13" s="106"/>
      <c r="EO13" s="106"/>
      <c r="EP13" s="106"/>
      <c r="EQ13" s="106"/>
      <c r="ER13" s="106"/>
      <c r="ES13" s="106"/>
      <c r="ET13" s="106"/>
      <c r="EU13" s="106"/>
      <c r="EV13" s="106"/>
      <c r="EW13" s="106"/>
      <c r="EX13" s="106"/>
      <c r="EY13" s="106"/>
      <c r="EZ13" s="106"/>
      <c r="FA13" s="106"/>
      <c r="FB13" s="106"/>
      <c r="FC13" s="106"/>
      <c r="FD13" s="106"/>
      <c r="FE13" s="106"/>
      <c r="FF13" s="106"/>
      <c r="FG13" s="106"/>
      <c r="FH13" s="106"/>
      <c r="FI13" s="106"/>
      <c r="FJ13" s="106"/>
      <c r="FK13" s="106"/>
      <c r="FL13" s="106"/>
      <c r="FM13" s="106"/>
      <c r="FN13" s="106"/>
      <c r="FO13" s="106"/>
      <c r="FP13" s="106"/>
      <c r="FQ13" s="106"/>
      <c r="FR13" s="106"/>
      <c r="FS13" s="106"/>
      <c r="FT13" s="106"/>
      <c r="FU13" s="106"/>
      <c r="FV13" s="106"/>
      <c r="FW13" s="106"/>
      <c r="FX13" s="106"/>
      <c r="FY13" s="106"/>
      <c r="FZ13" s="106"/>
      <c r="GA13" s="106"/>
      <c r="GB13" s="106"/>
      <c r="GC13" s="106"/>
      <c r="GD13" s="106"/>
      <c r="GE13" s="106"/>
      <c r="GF13" s="106"/>
      <c r="GG13" s="106"/>
      <c r="GH13" s="106"/>
      <c r="GI13" s="106"/>
      <c r="GJ13" s="106"/>
      <c r="GK13" s="106"/>
      <c r="GL13" s="106"/>
      <c r="GM13" s="106"/>
      <c r="GN13" s="106"/>
      <c r="GO13" s="106"/>
      <c r="GP13" s="106"/>
      <c r="GQ13" s="106"/>
      <c r="GR13" s="106"/>
      <c r="GS13" s="106"/>
      <c r="GT13" s="106"/>
      <c r="GU13" s="106"/>
      <c r="GV13" s="106"/>
      <c r="GW13" s="106"/>
      <c r="GX13" s="106"/>
      <c r="GY13" s="106"/>
      <c r="GZ13" s="106"/>
      <c r="HA13" s="106"/>
      <c r="HB13" s="106"/>
      <c r="HC13" s="106"/>
      <c r="HD13" s="106"/>
      <c r="HE13" s="106"/>
      <c r="HF13" s="106"/>
      <c r="HG13" s="106"/>
      <c r="HH13" s="106"/>
      <c r="HI13" s="106"/>
      <c r="HJ13" s="106"/>
      <c r="HK13" s="106"/>
      <c r="HL13" s="106"/>
      <c r="HM13" s="106"/>
      <c r="HN13" s="106"/>
      <c r="HO13" s="106"/>
      <c r="HP13" s="106"/>
      <c r="HQ13" s="106"/>
      <c r="HR13" s="106"/>
      <c r="HS13" s="106"/>
      <c r="HT13" s="106"/>
      <c r="HU13" s="106"/>
      <c r="HV13" s="106"/>
      <c r="HW13" s="106"/>
      <c r="HX13" s="106"/>
      <c r="HY13" s="106"/>
      <c r="HZ13" s="106"/>
      <c r="IA13" s="106"/>
      <c r="IB13" s="106"/>
    </row>
    <row r="14" spans="1:236" ht="14.4" x14ac:dyDescent="0.3">
      <c r="A14" s="91"/>
      <c r="B14" s="279"/>
      <c r="C14" s="95"/>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c r="CQ14" s="106"/>
      <c r="CR14" s="106"/>
      <c r="CS14" s="106"/>
      <c r="CT14" s="106"/>
      <c r="CU14" s="106"/>
      <c r="CV14" s="106"/>
      <c r="CW14" s="106"/>
      <c r="CX14" s="106"/>
      <c r="CY14" s="106"/>
      <c r="CZ14" s="106"/>
      <c r="DA14" s="106"/>
      <c r="DB14" s="106"/>
      <c r="DC14" s="106"/>
      <c r="DD14" s="106"/>
      <c r="DE14" s="106"/>
      <c r="DF14" s="106"/>
      <c r="DG14" s="106"/>
      <c r="DH14" s="106"/>
      <c r="DI14" s="106"/>
      <c r="DJ14" s="106"/>
      <c r="DK14" s="106"/>
      <c r="DL14" s="106"/>
      <c r="DM14" s="106"/>
      <c r="DN14" s="106"/>
      <c r="DO14" s="106"/>
      <c r="DP14" s="106"/>
      <c r="DQ14" s="106"/>
      <c r="DR14" s="106"/>
      <c r="DS14" s="106"/>
      <c r="DT14" s="106"/>
      <c r="DU14" s="106"/>
      <c r="DV14" s="106"/>
      <c r="DW14" s="106"/>
      <c r="DX14" s="106"/>
      <c r="DY14" s="106"/>
      <c r="DZ14" s="106"/>
      <c r="EA14" s="106"/>
      <c r="EB14" s="106"/>
      <c r="EC14" s="106"/>
      <c r="ED14" s="106"/>
      <c r="EE14" s="106"/>
      <c r="EF14" s="106"/>
      <c r="EG14" s="106"/>
      <c r="EH14" s="106"/>
      <c r="EI14" s="106"/>
      <c r="EJ14" s="106"/>
      <c r="EK14" s="106"/>
      <c r="EL14" s="106"/>
      <c r="EM14" s="106"/>
      <c r="EN14" s="106"/>
      <c r="EO14" s="106"/>
      <c r="EP14" s="106"/>
      <c r="EQ14" s="106"/>
      <c r="ER14" s="106"/>
      <c r="ES14" s="106"/>
      <c r="ET14" s="106"/>
      <c r="EU14" s="106"/>
      <c r="EV14" s="106"/>
      <c r="EW14" s="106"/>
      <c r="EX14" s="106"/>
      <c r="EY14" s="106"/>
      <c r="EZ14" s="106"/>
      <c r="FA14" s="106"/>
      <c r="FB14" s="106"/>
      <c r="FC14" s="106"/>
      <c r="FD14" s="106"/>
      <c r="FE14" s="106"/>
      <c r="FF14" s="106"/>
      <c r="FG14" s="106"/>
      <c r="FH14" s="106"/>
      <c r="FI14" s="106"/>
      <c r="FJ14" s="106"/>
      <c r="FK14" s="106"/>
      <c r="FL14" s="106"/>
      <c r="FM14" s="106"/>
      <c r="FN14" s="106"/>
      <c r="FO14" s="106"/>
      <c r="FP14" s="106"/>
      <c r="FQ14" s="106"/>
      <c r="FR14" s="106"/>
      <c r="FS14" s="106"/>
      <c r="FT14" s="106"/>
      <c r="FU14" s="106"/>
      <c r="FV14" s="106"/>
      <c r="FW14" s="106"/>
      <c r="FX14" s="106"/>
      <c r="FY14" s="106"/>
      <c r="FZ14" s="106"/>
      <c r="GA14" s="106"/>
      <c r="GB14" s="106"/>
      <c r="GC14" s="106"/>
      <c r="GD14" s="106"/>
      <c r="GE14" s="106"/>
      <c r="GF14" s="106"/>
      <c r="GG14" s="106"/>
      <c r="GH14" s="106"/>
      <c r="GI14" s="106"/>
      <c r="GJ14" s="106"/>
      <c r="GK14" s="106"/>
      <c r="GL14" s="106"/>
      <c r="GM14" s="106"/>
      <c r="GN14" s="106"/>
      <c r="GO14" s="106"/>
      <c r="GP14" s="106"/>
      <c r="GQ14" s="106"/>
      <c r="GR14" s="106"/>
      <c r="GS14" s="106"/>
      <c r="GT14" s="106"/>
      <c r="GU14" s="106"/>
      <c r="GV14" s="106"/>
      <c r="GW14" s="106"/>
      <c r="GX14" s="106"/>
      <c r="GY14" s="106"/>
      <c r="GZ14" s="106"/>
      <c r="HA14" s="106"/>
      <c r="HB14" s="106"/>
      <c r="HC14" s="106"/>
      <c r="HD14" s="106"/>
      <c r="HE14" s="106"/>
      <c r="HF14" s="106"/>
      <c r="HG14" s="106"/>
      <c r="HH14" s="106"/>
      <c r="HI14" s="106"/>
      <c r="HJ14" s="106"/>
      <c r="HK14" s="106"/>
      <c r="HL14" s="106"/>
      <c r="HM14" s="106"/>
      <c r="HN14" s="106"/>
      <c r="HO14" s="106"/>
      <c r="HP14" s="106"/>
      <c r="HQ14" s="106"/>
      <c r="HR14" s="106"/>
      <c r="HS14" s="106"/>
      <c r="HT14" s="106"/>
      <c r="HU14" s="106"/>
      <c r="HV14" s="106"/>
      <c r="HW14" s="106"/>
      <c r="HX14" s="106"/>
      <c r="HY14" s="106"/>
      <c r="HZ14" s="106"/>
      <c r="IA14" s="106"/>
      <c r="IB14" s="106"/>
    </row>
    <row r="15" spans="1:236" ht="14.4" x14ac:dyDescent="0.3">
      <c r="A15" s="91">
        <v>5</v>
      </c>
      <c r="B15" s="92" t="s">
        <v>363</v>
      </c>
      <c r="C15" s="97"/>
      <c r="D15" s="106"/>
      <c r="E15" s="106"/>
      <c r="F15" s="106"/>
      <c r="G15" s="106"/>
      <c r="H15" s="106"/>
      <c r="I15" s="106"/>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c r="CT15" s="106"/>
      <c r="CU15" s="106"/>
      <c r="CV15" s="106"/>
      <c r="CW15" s="106"/>
      <c r="CX15" s="106"/>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c r="DZ15" s="106"/>
      <c r="EA15" s="106"/>
      <c r="EB15" s="106"/>
      <c r="EC15" s="106"/>
      <c r="ED15" s="106"/>
      <c r="EE15" s="106"/>
      <c r="EF15" s="106"/>
      <c r="EG15" s="106"/>
      <c r="EH15" s="106"/>
      <c r="EI15" s="106"/>
      <c r="EJ15" s="106"/>
      <c r="EK15" s="106"/>
      <c r="EL15" s="106"/>
      <c r="EM15" s="106"/>
      <c r="EN15" s="106"/>
      <c r="EO15" s="106"/>
      <c r="EP15" s="106"/>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06"/>
      <c r="GH15" s="106"/>
      <c r="GI15" s="106"/>
      <c r="GJ15" s="106"/>
      <c r="GK15" s="106"/>
      <c r="GL15" s="106"/>
      <c r="GM15" s="106"/>
      <c r="GN15" s="106"/>
      <c r="GO15" s="106"/>
      <c r="GP15" s="106"/>
      <c r="GQ15" s="106"/>
      <c r="GR15" s="106"/>
      <c r="GS15" s="106"/>
      <c r="GT15" s="106"/>
      <c r="GU15" s="106"/>
      <c r="GV15" s="106"/>
      <c r="GW15" s="106"/>
      <c r="GX15" s="106"/>
      <c r="GY15" s="106"/>
      <c r="GZ15" s="106"/>
      <c r="HA15" s="106"/>
      <c r="HB15" s="106"/>
      <c r="HC15" s="106"/>
      <c r="HD15" s="106"/>
      <c r="HE15" s="106"/>
      <c r="HF15" s="106"/>
      <c r="HG15" s="106"/>
      <c r="HH15" s="106"/>
      <c r="HI15" s="106"/>
      <c r="HJ15" s="106"/>
      <c r="HK15" s="106"/>
      <c r="HL15" s="106"/>
      <c r="HM15" s="106"/>
      <c r="HN15" s="106"/>
      <c r="HO15" s="106"/>
      <c r="HP15" s="106"/>
      <c r="HQ15" s="106"/>
      <c r="HR15" s="106"/>
      <c r="HS15" s="106"/>
      <c r="HT15" s="106"/>
      <c r="HU15" s="106"/>
      <c r="HV15" s="106"/>
      <c r="HW15" s="106"/>
      <c r="HX15" s="106"/>
      <c r="HY15" s="106"/>
      <c r="HZ15" s="106"/>
      <c r="IA15" s="106"/>
      <c r="IB15" s="106"/>
    </row>
    <row r="16" spans="1:236" ht="14.4" x14ac:dyDescent="0.3">
      <c r="A16" s="92"/>
      <c r="B16" s="92"/>
      <c r="C16" s="95"/>
      <c r="D16" s="106"/>
      <c r="E16" s="106"/>
      <c r="F16" s="234"/>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c r="BC16" s="106"/>
      <c r="BD16" s="106"/>
      <c r="BE16" s="106"/>
      <c r="BF16" s="106"/>
      <c r="BG16" s="106"/>
      <c r="BH16" s="106"/>
      <c r="BI16" s="106"/>
      <c r="BJ16" s="106"/>
      <c r="BK16" s="106"/>
      <c r="BL16" s="106"/>
      <c r="BM16" s="106"/>
      <c r="BN16" s="106"/>
      <c r="BO16" s="106"/>
      <c r="BP16" s="106"/>
      <c r="BQ16" s="106"/>
      <c r="BR16" s="106"/>
      <c r="BS16" s="106"/>
      <c r="BT16" s="106"/>
      <c r="BU16" s="106"/>
      <c r="BV16" s="106"/>
      <c r="BW16" s="106"/>
      <c r="BX16" s="106"/>
      <c r="BY16" s="106"/>
      <c r="BZ16" s="106"/>
      <c r="CA16" s="106"/>
      <c r="CB16" s="106"/>
      <c r="CC16" s="106"/>
      <c r="CD16" s="106"/>
      <c r="CE16" s="106"/>
      <c r="CF16" s="106"/>
      <c r="CG16" s="106"/>
      <c r="CH16" s="106"/>
      <c r="CI16" s="106"/>
      <c r="CJ16" s="106"/>
      <c r="CK16" s="106"/>
      <c r="CL16" s="106"/>
      <c r="CM16" s="106"/>
      <c r="CN16" s="106"/>
      <c r="CO16" s="106"/>
      <c r="CP16" s="106"/>
      <c r="CQ16" s="106"/>
      <c r="CR16" s="106"/>
      <c r="CS16" s="106"/>
      <c r="CT16" s="106"/>
      <c r="CU16" s="106"/>
      <c r="CV16" s="106"/>
      <c r="CW16" s="106"/>
      <c r="CX16" s="106"/>
      <c r="CY16" s="106"/>
      <c r="CZ16" s="106"/>
      <c r="DA16" s="106"/>
      <c r="DB16" s="106"/>
      <c r="DC16" s="106"/>
      <c r="DD16" s="106"/>
      <c r="DE16" s="106"/>
      <c r="DF16" s="106"/>
      <c r="DG16" s="106"/>
      <c r="DH16" s="106"/>
      <c r="DI16" s="106"/>
      <c r="DJ16" s="106"/>
      <c r="DK16" s="106"/>
      <c r="DL16" s="106"/>
      <c r="DM16" s="106"/>
      <c r="DN16" s="106"/>
      <c r="DO16" s="106"/>
      <c r="DP16" s="106"/>
      <c r="DQ16" s="106"/>
      <c r="DR16" s="106"/>
      <c r="DS16" s="106"/>
      <c r="DT16" s="106"/>
      <c r="DU16" s="106"/>
      <c r="DV16" s="106"/>
      <c r="DW16" s="106"/>
      <c r="DX16" s="106"/>
      <c r="DY16" s="106"/>
      <c r="DZ16" s="106"/>
      <c r="EA16" s="106"/>
      <c r="EB16" s="106"/>
      <c r="EC16" s="106"/>
      <c r="ED16" s="106"/>
      <c r="EE16" s="106"/>
      <c r="EF16" s="106"/>
      <c r="EG16" s="106"/>
      <c r="EH16" s="106"/>
      <c r="EI16" s="106"/>
      <c r="EJ16" s="106"/>
      <c r="EK16" s="106"/>
      <c r="EL16" s="106"/>
      <c r="EM16" s="106"/>
      <c r="EN16" s="106"/>
      <c r="EO16" s="106"/>
      <c r="EP16" s="106"/>
      <c r="EQ16" s="106"/>
      <c r="ER16" s="106"/>
      <c r="ES16" s="106"/>
      <c r="ET16" s="106"/>
      <c r="EU16" s="106"/>
      <c r="EV16" s="106"/>
      <c r="EW16" s="106"/>
      <c r="EX16" s="106"/>
      <c r="EY16" s="106"/>
      <c r="EZ16" s="106"/>
      <c r="FA16" s="106"/>
      <c r="FB16" s="106"/>
      <c r="FC16" s="106"/>
      <c r="FD16" s="106"/>
      <c r="FE16" s="106"/>
      <c r="FF16" s="106"/>
      <c r="FG16" s="106"/>
      <c r="FH16" s="106"/>
      <c r="FI16" s="106"/>
      <c r="FJ16" s="106"/>
      <c r="FK16" s="106"/>
      <c r="FL16" s="106"/>
      <c r="FM16" s="106"/>
      <c r="FN16" s="106"/>
      <c r="FO16" s="106"/>
      <c r="FP16" s="106"/>
      <c r="FQ16" s="106"/>
      <c r="FR16" s="106"/>
      <c r="FS16" s="106"/>
      <c r="FT16" s="106"/>
      <c r="FU16" s="106"/>
      <c r="FV16" s="106"/>
      <c r="FW16" s="106"/>
      <c r="FX16" s="106"/>
      <c r="FY16" s="106"/>
      <c r="FZ16" s="106"/>
      <c r="GA16" s="106"/>
      <c r="GB16" s="106"/>
      <c r="GC16" s="106"/>
      <c r="GD16" s="106"/>
      <c r="GE16" s="106"/>
      <c r="GF16" s="106"/>
      <c r="GG16" s="106"/>
      <c r="GH16" s="106"/>
      <c r="GI16" s="106"/>
      <c r="GJ16" s="106"/>
      <c r="GK16" s="106"/>
      <c r="GL16" s="106"/>
      <c r="GM16" s="106"/>
      <c r="GN16" s="106"/>
      <c r="GO16" s="106"/>
      <c r="GP16" s="106"/>
      <c r="GQ16" s="106"/>
      <c r="GR16" s="106"/>
      <c r="GS16" s="106"/>
      <c r="GT16" s="106"/>
      <c r="GU16" s="106"/>
      <c r="GV16" s="106"/>
      <c r="GW16" s="106"/>
      <c r="GX16" s="106"/>
      <c r="GY16" s="106"/>
      <c r="GZ16" s="106"/>
      <c r="HA16" s="106"/>
      <c r="HB16" s="106"/>
      <c r="HC16" s="106"/>
      <c r="HD16" s="106"/>
      <c r="HE16" s="106"/>
      <c r="HF16" s="106"/>
      <c r="HG16" s="106"/>
      <c r="HH16" s="106"/>
      <c r="HI16" s="106"/>
      <c r="HJ16" s="106"/>
      <c r="HK16" s="106"/>
      <c r="HL16" s="106"/>
      <c r="HM16" s="106"/>
      <c r="HN16" s="106"/>
      <c r="HO16" s="106"/>
      <c r="HP16" s="106"/>
      <c r="HQ16" s="106"/>
      <c r="HR16" s="106"/>
      <c r="HS16" s="106"/>
      <c r="HT16" s="106"/>
      <c r="HU16" s="106"/>
      <c r="HV16" s="106"/>
      <c r="HW16" s="106"/>
      <c r="HX16" s="106"/>
      <c r="HY16" s="106"/>
      <c r="HZ16" s="106"/>
      <c r="IA16" s="106"/>
      <c r="IB16" s="106"/>
    </row>
    <row r="17" spans="1:236" s="108" customFormat="1" ht="14.4" x14ac:dyDescent="0.3">
      <c r="A17" s="91">
        <v>6</v>
      </c>
      <c r="B17" s="92" t="s">
        <v>364</v>
      </c>
      <c r="C17" s="95"/>
    </row>
    <row r="18" spans="1:236" ht="14.4" x14ac:dyDescent="0.3">
      <c r="A18" s="92"/>
      <c r="B18" s="92"/>
      <c r="C18" s="92"/>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c r="BO18" s="106"/>
      <c r="BP18" s="106"/>
      <c r="BQ18" s="106"/>
      <c r="BR18" s="106"/>
      <c r="BS18" s="106"/>
      <c r="BT18" s="106"/>
      <c r="BU18" s="106"/>
      <c r="BV18" s="106"/>
      <c r="BW18" s="106"/>
      <c r="BX18" s="106"/>
      <c r="BY18" s="106"/>
      <c r="BZ18" s="106"/>
      <c r="CA18" s="106"/>
      <c r="CB18" s="106"/>
      <c r="CC18" s="106"/>
      <c r="CD18" s="106"/>
      <c r="CE18" s="106"/>
      <c r="CF18" s="106"/>
      <c r="CG18" s="106"/>
      <c r="CH18" s="106"/>
      <c r="CI18" s="106"/>
      <c r="CJ18" s="106"/>
      <c r="CK18" s="106"/>
      <c r="CL18" s="106"/>
      <c r="CM18" s="106"/>
      <c r="CN18" s="106"/>
      <c r="CO18" s="106"/>
      <c r="CP18" s="106"/>
      <c r="CQ18" s="106"/>
      <c r="CR18" s="106"/>
      <c r="CS18" s="106"/>
      <c r="CT18" s="106"/>
      <c r="CU18" s="106"/>
      <c r="CV18" s="106"/>
      <c r="CW18" s="106"/>
      <c r="CX18" s="106"/>
      <c r="CY18" s="106"/>
      <c r="CZ18" s="106"/>
      <c r="DA18" s="106"/>
      <c r="DB18" s="106"/>
      <c r="DC18" s="106"/>
      <c r="DD18" s="106"/>
      <c r="DE18" s="106"/>
      <c r="DF18" s="106"/>
      <c r="DG18" s="106"/>
      <c r="DH18" s="106"/>
      <c r="DI18" s="106"/>
      <c r="DJ18" s="106"/>
      <c r="DK18" s="106"/>
      <c r="DL18" s="106"/>
      <c r="DM18" s="106"/>
      <c r="DN18" s="106"/>
      <c r="DO18" s="106"/>
      <c r="DP18" s="106"/>
      <c r="DQ18" s="106"/>
      <c r="DR18" s="106"/>
      <c r="DS18" s="106"/>
      <c r="DT18" s="106"/>
      <c r="DU18" s="106"/>
      <c r="DV18" s="106"/>
      <c r="DW18" s="106"/>
      <c r="DX18" s="106"/>
      <c r="DY18" s="106"/>
      <c r="DZ18" s="106"/>
      <c r="EA18" s="106"/>
      <c r="EB18" s="106"/>
      <c r="EC18" s="106"/>
      <c r="ED18" s="106"/>
      <c r="EE18" s="106"/>
      <c r="EF18" s="106"/>
      <c r="EG18" s="106"/>
      <c r="EH18" s="106"/>
      <c r="EI18" s="106"/>
      <c r="EJ18" s="106"/>
      <c r="EK18" s="106"/>
      <c r="EL18" s="106"/>
      <c r="EM18" s="106"/>
      <c r="EN18" s="106"/>
      <c r="EO18" s="106"/>
      <c r="EP18" s="106"/>
      <c r="EQ18" s="106"/>
      <c r="ER18" s="106"/>
      <c r="ES18" s="106"/>
      <c r="ET18" s="106"/>
      <c r="EU18" s="106"/>
      <c r="EV18" s="106"/>
      <c r="EW18" s="106"/>
      <c r="EX18" s="106"/>
      <c r="EY18" s="106"/>
      <c r="EZ18" s="106"/>
      <c r="FA18" s="106"/>
      <c r="FB18" s="106"/>
      <c r="FC18" s="106"/>
      <c r="FD18" s="106"/>
      <c r="FE18" s="106"/>
      <c r="FF18" s="106"/>
      <c r="FG18" s="106"/>
      <c r="FH18" s="106"/>
      <c r="FI18" s="106"/>
      <c r="FJ18" s="106"/>
      <c r="FK18" s="106"/>
      <c r="FL18" s="106"/>
      <c r="FM18" s="106"/>
      <c r="FN18" s="106"/>
      <c r="FO18" s="106"/>
      <c r="FP18" s="106"/>
      <c r="FQ18" s="106"/>
      <c r="FR18" s="106"/>
      <c r="FS18" s="106"/>
      <c r="FT18" s="106"/>
      <c r="FU18" s="106"/>
      <c r="FV18" s="106"/>
      <c r="FW18" s="106"/>
      <c r="FX18" s="106"/>
      <c r="FY18" s="106"/>
      <c r="FZ18" s="106"/>
      <c r="GA18" s="106"/>
      <c r="GB18" s="106"/>
      <c r="GC18" s="106"/>
      <c r="GD18" s="106"/>
      <c r="GE18" s="106"/>
      <c r="GF18" s="106"/>
      <c r="GG18" s="106"/>
      <c r="GH18" s="106"/>
      <c r="GI18" s="106"/>
      <c r="GJ18" s="106"/>
      <c r="GK18" s="106"/>
      <c r="GL18" s="106"/>
      <c r="GM18" s="106"/>
      <c r="GN18" s="106"/>
      <c r="GO18" s="106"/>
      <c r="GP18" s="106"/>
      <c r="GQ18" s="106"/>
      <c r="GR18" s="106"/>
      <c r="GS18" s="106"/>
      <c r="GT18" s="106"/>
      <c r="GU18" s="106"/>
      <c r="GV18" s="106"/>
      <c r="GW18" s="106"/>
      <c r="GX18" s="106"/>
      <c r="GY18" s="106"/>
      <c r="GZ18" s="106"/>
      <c r="HA18" s="106"/>
      <c r="HB18" s="106"/>
      <c r="HC18" s="106"/>
      <c r="HD18" s="106"/>
      <c r="HE18" s="106"/>
      <c r="HF18" s="106"/>
      <c r="HG18" s="106"/>
      <c r="HH18" s="106"/>
      <c r="HI18" s="106"/>
      <c r="HJ18" s="106"/>
      <c r="HK18" s="106"/>
      <c r="HL18" s="106"/>
      <c r="HM18" s="106"/>
      <c r="HN18" s="106"/>
      <c r="HO18" s="106"/>
      <c r="HP18" s="106"/>
      <c r="HQ18" s="106"/>
      <c r="HR18" s="106"/>
      <c r="HS18" s="106"/>
      <c r="HT18" s="106"/>
      <c r="HU18" s="106"/>
      <c r="HV18" s="106"/>
      <c r="HW18" s="106"/>
      <c r="HX18" s="106"/>
      <c r="HY18" s="106"/>
      <c r="HZ18" s="106"/>
      <c r="IA18" s="106"/>
      <c r="IB18" s="106"/>
    </row>
    <row r="19" spans="1:236" ht="22.05" customHeight="1" x14ac:dyDescent="0.3">
      <c r="A19" s="109"/>
      <c r="B19" s="110" t="s">
        <v>411</v>
      </c>
      <c r="C19" s="111">
        <f>SUM(C5:C18)</f>
        <v>3391644</v>
      </c>
      <c r="D19" s="107"/>
      <c r="E19" s="233">
        <f>C11/1360</f>
        <v>1732.0242647058824</v>
      </c>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106"/>
      <c r="CB19" s="106"/>
      <c r="CC19" s="106"/>
      <c r="CD19" s="106"/>
      <c r="CE19" s="106"/>
      <c r="CF19" s="106"/>
      <c r="CG19" s="106"/>
      <c r="CH19" s="106"/>
      <c r="CI19" s="106"/>
      <c r="CJ19" s="106"/>
      <c r="CK19" s="106"/>
      <c r="CL19" s="106"/>
      <c r="CM19" s="106"/>
      <c r="CN19" s="106"/>
      <c r="CO19" s="106"/>
      <c r="CP19" s="106"/>
      <c r="CQ19" s="106"/>
      <c r="CR19" s="106"/>
      <c r="CS19" s="106"/>
      <c r="CT19" s="106"/>
      <c r="CU19" s="106"/>
      <c r="CV19" s="106"/>
      <c r="CW19" s="106"/>
      <c r="CX19" s="106"/>
      <c r="CY19" s="106"/>
      <c r="CZ19" s="106"/>
      <c r="DA19" s="106"/>
      <c r="DB19" s="106"/>
      <c r="DC19" s="106"/>
      <c r="DD19" s="106"/>
      <c r="DE19" s="106"/>
      <c r="DF19" s="106"/>
      <c r="DG19" s="106"/>
      <c r="DH19" s="106"/>
      <c r="DI19" s="106"/>
      <c r="DJ19" s="106"/>
      <c r="DK19" s="106"/>
      <c r="DL19" s="106"/>
      <c r="DM19" s="106"/>
      <c r="DN19" s="106"/>
      <c r="DO19" s="106"/>
      <c r="DP19" s="106"/>
      <c r="DQ19" s="106"/>
      <c r="DR19" s="106"/>
      <c r="DS19" s="106"/>
      <c r="DT19" s="106"/>
      <c r="DU19" s="106"/>
      <c r="DV19" s="106"/>
      <c r="DW19" s="106"/>
      <c r="DX19" s="106"/>
      <c r="DY19" s="106"/>
      <c r="DZ19" s="106"/>
      <c r="EA19" s="106"/>
      <c r="EB19" s="106"/>
      <c r="EC19" s="106"/>
      <c r="ED19" s="106"/>
      <c r="EE19" s="106"/>
      <c r="EF19" s="106"/>
      <c r="EG19" s="106"/>
      <c r="EH19" s="106"/>
      <c r="EI19" s="106"/>
      <c r="EJ19" s="106"/>
      <c r="EK19" s="106"/>
      <c r="EL19" s="106"/>
      <c r="EM19" s="106"/>
      <c r="EN19" s="106"/>
      <c r="EO19" s="106"/>
      <c r="EP19" s="106"/>
      <c r="EQ19" s="106"/>
      <c r="ER19" s="106"/>
      <c r="ES19" s="106"/>
      <c r="ET19" s="106"/>
      <c r="EU19" s="106"/>
      <c r="EV19" s="106"/>
      <c r="EW19" s="106"/>
      <c r="EX19" s="106"/>
      <c r="EY19" s="106"/>
      <c r="EZ19" s="106"/>
      <c r="FA19" s="106"/>
      <c r="FB19" s="106"/>
      <c r="FC19" s="106"/>
      <c r="FD19" s="106"/>
      <c r="FE19" s="106"/>
      <c r="FF19" s="106"/>
      <c r="FG19" s="106"/>
      <c r="FH19" s="106"/>
      <c r="FI19" s="106"/>
      <c r="FJ19" s="106"/>
      <c r="FK19" s="106"/>
      <c r="FL19" s="106"/>
      <c r="FM19" s="106"/>
      <c r="FN19" s="106"/>
      <c r="FO19" s="106"/>
      <c r="FP19" s="106"/>
      <c r="FQ19" s="106"/>
      <c r="FR19" s="106"/>
      <c r="FS19" s="106"/>
      <c r="FT19" s="106"/>
      <c r="FU19" s="106"/>
      <c r="FV19" s="106"/>
      <c r="FW19" s="106"/>
      <c r="FX19" s="106"/>
      <c r="FY19" s="106"/>
      <c r="FZ19" s="106"/>
      <c r="GA19" s="106"/>
      <c r="GB19" s="106"/>
      <c r="GC19" s="106"/>
      <c r="GD19" s="106"/>
      <c r="GE19" s="106"/>
      <c r="GF19" s="106"/>
      <c r="GG19" s="106"/>
      <c r="GH19" s="106"/>
      <c r="GI19" s="106"/>
      <c r="GJ19" s="106"/>
      <c r="GK19" s="106"/>
      <c r="GL19" s="106"/>
      <c r="GM19" s="106"/>
      <c r="GN19" s="106"/>
      <c r="GO19" s="106"/>
      <c r="GP19" s="106"/>
      <c r="GQ19" s="106"/>
      <c r="GR19" s="106"/>
      <c r="GS19" s="106"/>
      <c r="GT19" s="106"/>
      <c r="GU19" s="106"/>
      <c r="GV19" s="106"/>
      <c r="GW19" s="106"/>
      <c r="GX19" s="106"/>
      <c r="GY19" s="106"/>
      <c r="GZ19" s="106"/>
      <c r="HA19" s="106"/>
      <c r="HB19" s="106"/>
      <c r="HC19" s="106"/>
      <c r="HD19" s="106"/>
      <c r="HE19" s="106"/>
      <c r="HF19" s="106"/>
      <c r="HG19" s="106"/>
      <c r="HH19" s="106"/>
      <c r="HI19" s="106"/>
      <c r="HJ19" s="106"/>
      <c r="HK19" s="106"/>
      <c r="HL19" s="106"/>
      <c r="HM19" s="106"/>
      <c r="HN19" s="106"/>
      <c r="HO19" s="106"/>
      <c r="HP19" s="106"/>
      <c r="HQ19" s="106"/>
      <c r="HR19" s="106"/>
      <c r="HS19" s="106"/>
      <c r="HT19" s="106"/>
      <c r="HU19" s="106"/>
      <c r="HV19" s="106"/>
      <c r="HW19" s="106"/>
      <c r="HX19" s="106"/>
      <c r="HY19" s="106"/>
      <c r="HZ19" s="106"/>
      <c r="IA19" s="106"/>
      <c r="IB19" s="106"/>
    </row>
  </sheetData>
  <mergeCells count="2">
    <mergeCell ref="A2:C2"/>
    <mergeCell ref="A1:C1"/>
  </mergeCells>
  <printOptions horizontalCentered="1"/>
  <pageMargins left="0.35" right="0.24" top="0.5" bottom="0.75" header="0.3" footer="0.3"/>
  <pageSetup paperSize="9" scale="95"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pageSetUpPr fitToPage="1"/>
  </sheetPr>
  <dimension ref="A1:R145"/>
  <sheetViews>
    <sheetView view="pageBreakPreview" zoomScale="55" zoomScaleNormal="100" zoomScaleSheetLayoutView="55" workbookViewId="0">
      <pane xSplit="4" ySplit="3" topLeftCell="E64" activePane="bottomRight" state="frozen"/>
      <selection activeCell="B21" sqref="B21"/>
      <selection pane="topRight" activeCell="B21" sqref="B21"/>
      <selection pane="bottomLeft" activeCell="B21" sqref="B21"/>
      <selection pane="bottomRight" activeCell="B71" sqref="B71"/>
    </sheetView>
  </sheetViews>
  <sheetFormatPr defaultColWidth="9.21875" defaultRowHeight="14.4" x14ac:dyDescent="0.3"/>
  <cols>
    <col min="1" max="1" width="31.44140625" style="9" bestFit="1" customWidth="1"/>
    <col min="2" max="2" width="85.77734375" style="9" bestFit="1" customWidth="1"/>
    <col min="3" max="3" width="9" style="101" bestFit="1" customWidth="1"/>
    <col min="4" max="4" width="8.44140625" style="101" bestFit="1" customWidth="1"/>
    <col min="5" max="5" width="13.21875" style="230" customWidth="1"/>
    <col min="6" max="6" width="16.33203125" style="231" bestFit="1" customWidth="1"/>
    <col min="7" max="7" width="9.109375" style="9" customWidth="1"/>
    <col min="8" max="8" width="8.88671875" style="9" bestFit="1" customWidth="1"/>
    <col min="9" max="9" width="11.88671875" style="9" bestFit="1" customWidth="1"/>
    <col min="10" max="10" width="10.33203125" style="9" bestFit="1" customWidth="1"/>
    <col min="11" max="11" width="10.77734375" style="9" bestFit="1" customWidth="1"/>
    <col min="12" max="12" width="14.88671875" style="9" bestFit="1" customWidth="1"/>
    <col min="13" max="13" width="13.44140625" style="9" bestFit="1" customWidth="1"/>
    <col min="14" max="14" width="11.88671875" style="9" bestFit="1" customWidth="1"/>
    <col min="15" max="15" width="9.88671875" style="9" bestFit="1" customWidth="1"/>
    <col min="16" max="16" width="10.77734375" style="9" bestFit="1" customWidth="1"/>
    <col min="17" max="17" width="29.109375" style="9" customWidth="1"/>
    <col min="18" max="18" width="21.77734375" style="9" bestFit="1" customWidth="1"/>
    <col min="19" max="223" width="9.21875" style="9"/>
    <col min="224" max="224" width="57.21875" style="9" customWidth="1"/>
    <col min="225" max="225" width="6.77734375" style="9" customWidth="1"/>
    <col min="226" max="226" width="10.77734375" style="9" customWidth="1"/>
    <col min="227" max="227" width="13.21875" style="9" customWidth="1"/>
    <col min="228" max="228" width="14.77734375" style="9" customWidth="1"/>
    <col min="229" max="232" width="13.5546875" style="9" customWidth="1"/>
    <col min="233" max="234" width="0" style="9" hidden="1" customWidth="1"/>
    <col min="235" max="240" width="13.5546875" style="9" customWidth="1"/>
    <col min="241" max="241" width="15" style="9" customWidth="1"/>
    <col min="242" max="243" width="11.5546875" style="9" bestFit="1" customWidth="1"/>
    <col min="244" max="244" width="12.5546875" style="9" bestFit="1" customWidth="1"/>
    <col min="245" max="479" width="9.21875" style="9"/>
    <col min="480" max="480" width="57.21875" style="9" customWidth="1"/>
    <col min="481" max="481" width="6.77734375" style="9" customWidth="1"/>
    <col min="482" max="482" width="10.77734375" style="9" customWidth="1"/>
    <col min="483" max="483" width="13.21875" style="9" customWidth="1"/>
    <col min="484" max="484" width="14.77734375" style="9" customWidth="1"/>
    <col min="485" max="488" width="13.5546875" style="9" customWidth="1"/>
    <col min="489" max="490" width="0" style="9" hidden="1" customWidth="1"/>
    <col min="491" max="496" width="13.5546875" style="9" customWidth="1"/>
    <col min="497" max="497" width="15" style="9" customWidth="1"/>
    <col min="498" max="499" width="11.5546875" style="9" bestFit="1" customWidth="1"/>
    <col min="500" max="500" width="12.5546875" style="9" bestFit="1" customWidth="1"/>
    <col min="501" max="735" width="9.21875" style="9"/>
    <col min="736" max="736" width="57.21875" style="9" customWidth="1"/>
    <col min="737" max="737" width="6.77734375" style="9" customWidth="1"/>
    <col min="738" max="738" width="10.77734375" style="9" customWidth="1"/>
    <col min="739" max="739" width="13.21875" style="9" customWidth="1"/>
    <col min="740" max="740" width="14.77734375" style="9" customWidth="1"/>
    <col min="741" max="744" width="13.5546875" style="9" customWidth="1"/>
    <col min="745" max="746" width="0" style="9" hidden="1" customWidth="1"/>
    <col min="747" max="752" width="13.5546875" style="9" customWidth="1"/>
    <col min="753" max="753" width="15" style="9" customWidth="1"/>
    <col min="754" max="755" width="11.5546875" style="9" bestFit="1" customWidth="1"/>
    <col min="756" max="756" width="12.5546875" style="9" bestFit="1" customWidth="1"/>
    <col min="757" max="991" width="9.21875" style="9"/>
    <col min="992" max="992" width="57.21875" style="9" customWidth="1"/>
    <col min="993" max="993" width="6.77734375" style="9" customWidth="1"/>
    <col min="994" max="994" width="10.77734375" style="9" customWidth="1"/>
    <col min="995" max="995" width="13.21875" style="9" customWidth="1"/>
    <col min="996" max="996" width="14.77734375" style="9" customWidth="1"/>
    <col min="997" max="1000" width="13.5546875" style="9" customWidth="1"/>
    <col min="1001" max="1002" width="0" style="9" hidden="1" customWidth="1"/>
    <col min="1003" max="1008" width="13.5546875" style="9" customWidth="1"/>
    <col min="1009" max="1009" width="15" style="9" customWidth="1"/>
    <col min="1010" max="1011" width="11.5546875" style="9" bestFit="1" customWidth="1"/>
    <col min="1012" max="1012" width="12.5546875" style="9" bestFit="1" customWidth="1"/>
    <col min="1013" max="1247" width="9.21875" style="9"/>
    <col min="1248" max="1248" width="57.21875" style="9" customWidth="1"/>
    <col min="1249" max="1249" width="6.77734375" style="9" customWidth="1"/>
    <col min="1250" max="1250" width="10.77734375" style="9" customWidth="1"/>
    <col min="1251" max="1251" width="13.21875" style="9" customWidth="1"/>
    <col min="1252" max="1252" width="14.77734375" style="9" customWidth="1"/>
    <col min="1253" max="1256" width="13.5546875" style="9" customWidth="1"/>
    <col min="1257" max="1258" width="0" style="9" hidden="1" customWidth="1"/>
    <col min="1259" max="1264" width="13.5546875" style="9" customWidth="1"/>
    <col min="1265" max="1265" width="15" style="9" customWidth="1"/>
    <col min="1266" max="1267" width="11.5546875" style="9" bestFit="1" customWidth="1"/>
    <col min="1268" max="1268" width="12.5546875" style="9" bestFit="1" customWidth="1"/>
    <col min="1269" max="1503" width="9.21875" style="9"/>
    <col min="1504" max="1504" width="57.21875" style="9" customWidth="1"/>
    <col min="1505" max="1505" width="6.77734375" style="9" customWidth="1"/>
    <col min="1506" max="1506" width="10.77734375" style="9" customWidth="1"/>
    <col min="1507" max="1507" width="13.21875" style="9" customWidth="1"/>
    <col min="1508" max="1508" width="14.77734375" style="9" customWidth="1"/>
    <col min="1509" max="1512" width="13.5546875" style="9" customWidth="1"/>
    <col min="1513" max="1514" width="0" style="9" hidden="1" customWidth="1"/>
    <col min="1515" max="1520" width="13.5546875" style="9" customWidth="1"/>
    <col min="1521" max="1521" width="15" style="9" customWidth="1"/>
    <col min="1522" max="1523" width="11.5546875" style="9" bestFit="1" customWidth="1"/>
    <col min="1524" max="1524" width="12.5546875" style="9" bestFit="1" customWidth="1"/>
    <col min="1525" max="1759" width="9.21875" style="9"/>
    <col min="1760" max="1760" width="57.21875" style="9" customWidth="1"/>
    <col min="1761" max="1761" width="6.77734375" style="9" customWidth="1"/>
    <col min="1762" max="1762" width="10.77734375" style="9" customWidth="1"/>
    <col min="1763" max="1763" width="13.21875" style="9" customWidth="1"/>
    <col min="1764" max="1764" width="14.77734375" style="9" customWidth="1"/>
    <col min="1765" max="1768" width="13.5546875" style="9" customWidth="1"/>
    <col min="1769" max="1770" width="0" style="9" hidden="1" customWidth="1"/>
    <col min="1771" max="1776" width="13.5546875" style="9" customWidth="1"/>
    <col min="1777" max="1777" width="15" style="9" customWidth="1"/>
    <col min="1778" max="1779" width="11.5546875" style="9" bestFit="1" customWidth="1"/>
    <col min="1780" max="1780" width="12.5546875" style="9" bestFit="1" customWidth="1"/>
    <col min="1781" max="2015" width="9.21875" style="9"/>
    <col min="2016" max="2016" width="57.21875" style="9" customWidth="1"/>
    <col min="2017" max="2017" width="6.77734375" style="9" customWidth="1"/>
    <col min="2018" max="2018" width="10.77734375" style="9" customWidth="1"/>
    <col min="2019" max="2019" width="13.21875" style="9" customWidth="1"/>
    <col min="2020" max="2020" width="14.77734375" style="9" customWidth="1"/>
    <col min="2021" max="2024" width="13.5546875" style="9" customWidth="1"/>
    <col min="2025" max="2026" width="0" style="9" hidden="1" customWidth="1"/>
    <col min="2027" max="2032" width="13.5546875" style="9" customWidth="1"/>
    <col min="2033" max="2033" width="15" style="9" customWidth="1"/>
    <col min="2034" max="2035" width="11.5546875" style="9" bestFit="1" customWidth="1"/>
    <col min="2036" max="2036" width="12.5546875" style="9" bestFit="1" customWidth="1"/>
    <col min="2037" max="2271" width="9.21875" style="9"/>
    <col min="2272" max="2272" width="57.21875" style="9" customWidth="1"/>
    <col min="2273" max="2273" width="6.77734375" style="9" customWidth="1"/>
    <col min="2274" max="2274" width="10.77734375" style="9" customWidth="1"/>
    <col min="2275" max="2275" width="13.21875" style="9" customWidth="1"/>
    <col min="2276" max="2276" width="14.77734375" style="9" customWidth="1"/>
    <col min="2277" max="2280" width="13.5546875" style="9" customWidth="1"/>
    <col min="2281" max="2282" width="0" style="9" hidden="1" customWidth="1"/>
    <col min="2283" max="2288" width="13.5546875" style="9" customWidth="1"/>
    <col min="2289" max="2289" width="15" style="9" customWidth="1"/>
    <col min="2290" max="2291" width="11.5546875" style="9" bestFit="1" customWidth="1"/>
    <col min="2292" max="2292" width="12.5546875" style="9" bestFit="1" customWidth="1"/>
    <col min="2293" max="2527" width="9.21875" style="9"/>
    <col min="2528" max="2528" width="57.21875" style="9" customWidth="1"/>
    <col min="2529" max="2529" width="6.77734375" style="9" customWidth="1"/>
    <col min="2530" max="2530" width="10.77734375" style="9" customWidth="1"/>
    <col min="2531" max="2531" width="13.21875" style="9" customWidth="1"/>
    <col min="2532" max="2532" width="14.77734375" style="9" customWidth="1"/>
    <col min="2533" max="2536" width="13.5546875" style="9" customWidth="1"/>
    <col min="2537" max="2538" width="0" style="9" hidden="1" customWidth="1"/>
    <col min="2539" max="2544" width="13.5546875" style="9" customWidth="1"/>
    <col min="2545" max="2545" width="15" style="9" customWidth="1"/>
    <col min="2546" max="2547" width="11.5546875" style="9" bestFit="1" customWidth="1"/>
    <col min="2548" max="2548" width="12.5546875" style="9" bestFit="1" customWidth="1"/>
    <col min="2549" max="2783" width="9.21875" style="9"/>
    <col min="2784" max="2784" width="57.21875" style="9" customWidth="1"/>
    <col min="2785" max="2785" width="6.77734375" style="9" customWidth="1"/>
    <col min="2786" max="2786" width="10.77734375" style="9" customWidth="1"/>
    <col min="2787" max="2787" width="13.21875" style="9" customWidth="1"/>
    <col min="2788" max="2788" width="14.77734375" style="9" customWidth="1"/>
    <col min="2789" max="2792" width="13.5546875" style="9" customWidth="1"/>
    <col min="2793" max="2794" width="0" style="9" hidden="1" customWidth="1"/>
    <col min="2795" max="2800" width="13.5546875" style="9" customWidth="1"/>
    <col min="2801" max="2801" width="15" style="9" customWidth="1"/>
    <col min="2802" max="2803" width="11.5546875" style="9" bestFit="1" customWidth="1"/>
    <col min="2804" max="2804" width="12.5546875" style="9" bestFit="1" customWidth="1"/>
    <col min="2805" max="3039" width="9.21875" style="9"/>
    <col min="3040" max="3040" width="57.21875" style="9" customWidth="1"/>
    <col min="3041" max="3041" width="6.77734375" style="9" customWidth="1"/>
    <col min="3042" max="3042" width="10.77734375" style="9" customWidth="1"/>
    <col min="3043" max="3043" width="13.21875" style="9" customWidth="1"/>
    <col min="3044" max="3044" width="14.77734375" style="9" customWidth="1"/>
    <col min="3045" max="3048" width="13.5546875" style="9" customWidth="1"/>
    <col min="3049" max="3050" width="0" style="9" hidden="1" customWidth="1"/>
    <col min="3051" max="3056" width="13.5546875" style="9" customWidth="1"/>
    <col min="3057" max="3057" width="15" style="9" customWidth="1"/>
    <col min="3058" max="3059" width="11.5546875" style="9" bestFit="1" customWidth="1"/>
    <col min="3060" max="3060" width="12.5546875" style="9" bestFit="1" customWidth="1"/>
    <col min="3061" max="3295" width="9.21875" style="9"/>
    <col min="3296" max="3296" width="57.21875" style="9" customWidth="1"/>
    <col min="3297" max="3297" width="6.77734375" style="9" customWidth="1"/>
    <col min="3298" max="3298" width="10.77734375" style="9" customWidth="1"/>
    <col min="3299" max="3299" width="13.21875" style="9" customWidth="1"/>
    <col min="3300" max="3300" width="14.77734375" style="9" customWidth="1"/>
    <col min="3301" max="3304" width="13.5546875" style="9" customWidth="1"/>
    <col min="3305" max="3306" width="0" style="9" hidden="1" customWidth="1"/>
    <col min="3307" max="3312" width="13.5546875" style="9" customWidth="1"/>
    <col min="3313" max="3313" width="15" style="9" customWidth="1"/>
    <col min="3314" max="3315" width="11.5546875" style="9" bestFit="1" customWidth="1"/>
    <col min="3316" max="3316" width="12.5546875" style="9" bestFit="1" customWidth="1"/>
    <col min="3317" max="3551" width="9.21875" style="9"/>
    <col min="3552" max="3552" width="57.21875" style="9" customWidth="1"/>
    <col min="3553" max="3553" width="6.77734375" style="9" customWidth="1"/>
    <col min="3554" max="3554" width="10.77734375" style="9" customWidth="1"/>
    <col min="3555" max="3555" width="13.21875" style="9" customWidth="1"/>
    <col min="3556" max="3556" width="14.77734375" style="9" customWidth="1"/>
    <col min="3557" max="3560" width="13.5546875" style="9" customWidth="1"/>
    <col min="3561" max="3562" width="0" style="9" hidden="1" customWidth="1"/>
    <col min="3563" max="3568" width="13.5546875" style="9" customWidth="1"/>
    <col min="3569" max="3569" width="15" style="9" customWidth="1"/>
    <col min="3570" max="3571" width="11.5546875" style="9" bestFit="1" customWidth="1"/>
    <col min="3572" max="3572" width="12.5546875" style="9" bestFit="1" customWidth="1"/>
    <col min="3573" max="3807" width="9.21875" style="9"/>
    <col min="3808" max="3808" width="57.21875" style="9" customWidth="1"/>
    <col min="3809" max="3809" width="6.77734375" style="9" customWidth="1"/>
    <col min="3810" max="3810" width="10.77734375" style="9" customWidth="1"/>
    <col min="3811" max="3811" width="13.21875" style="9" customWidth="1"/>
    <col min="3812" max="3812" width="14.77734375" style="9" customWidth="1"/>
    <col min="3813" max="3816" width="13.5546875" style="9" customWidth="1"/>
    <col min="3817" max="3818" width="0" style="9" hidden="1" customWidth="1"/>
    <col min="3819" max="3824" width="13.5546875" style="9" customWidth="1"/>
    <col min="3825" max="3825" width="15" style="9" customWidth="1"/>
    <col min="3826" max="3827" width="11.5546875" style="9" bestFit="1" customWidth="1"/>
    <col min="3828" max="3828" width="12.5546875" style="9" bestFit="1" customWidth="1"/>
    <col min="3829" max="4063" width="9.21875" style="9"/>
    <col min="4064" max="4064" width="57.21875" style="9" customWidth="1"/>
    <col min="4065" max="4065" width="6.77734375" style="9" customWidth="1"/>
    <col min="4066" max="4066" width="10.77734375" style="9" customWidth="1"/>
    <col min="4067" max="4067" width="13.21875" style="9" customWidth="1"/>
    <col min="4068" max="4068" width="14.77734375" style="9" customWidth="1"/>
    <col min="4069" max="4072" width="13.5546875" style="9" customWidth="1"/>
    <col min="4073" max="4074" width="0" style="9" hidden="1" customWidth="1"/>
    <col min="4075" max="4080" width="13.5546875" style="9" customWidth="1"/>
    <col min="4081" max="4081" width="15" style="9" customWidth="1"/>
    <col min="4082" max="4083" width="11.5546875" style="9" bestFit="1" customWidth="1"/>
    <col min="4084" max="4084" width="12.5546875" style="9" bestFit="1" customWidth="1"/>
    <col min="4085" max="4319" width="9.21875" style="9"/>
    <col min="4320" max="4320" width="57.21875" style="9" customWidth="1"/>
    <col min="4321" max="4321" width="6.77734375" style="9" customWidth="1"/>
    <col min="4322" max="4322" width="10.77734375" style="9" customWidth="1"/>
    <col min="4323" max="4323" width="13.21875" style="9" customWidth="1"/>
    <col min="4324" max="4324" width="14.77734375" style="9" customWidth="1"/>
    <col min="4325" max="4328" width="13.5546875" style="9" customWidth="1"/>
    <col min="4329" max="4330" width="0" style="9" hidden="1" customWidth="1"/>
    <col min="4331" max="4336" width="13.5546875" style="9" customWidth="1"/>
    <col min="4337" max="4337" width="15" style="9" customWidth="1"/>
    <col min="4338" max="4339" width="11.5546875" style="9" bestFit="1" customWidth="1"/>
    <col min="4340" max="4340" width="12.5546875" style="9" bestFit="1" customWidth="1"/>
    <col min="4341" max="4575" width="9.21875" style="9"/>
    <col min="4576" max="4576" width="57.21875" style="9" customWidth="1"/>
    <col min="4577" max="4577" width="6.77734375" style="9" customWidth="1"/>
    <col min="4578" max="4578" width="10.77734375" style="9" customWidth="1"/>
    <col min="4579" max="4579" width="13.21875" style="9" customWidth="1"/>
    <col min="4580" max="4580" width="14.77734375" style="9" customWidth="1"/>
    <col min="4581" max="4584" width="13.5546875" style="9" customWidth="1"/>
    <col min="4585" max="4586" width="0" style="9" hidden="1" customWidth="1"/>
    <col min="4587" max="4592" width="13.5546875" style="9" customWidth="1"/>
    <col min="4593" max="4593" width="15" style="9" customWidth="1"/>
    <col min="4594" max="4595" width="11.5546875" style="9" bestFit="1" customWidth="1"/>
    <col min="4596" max="4596" width="12.5546875" style="9" bestFit="1" customWidth="1"/>
    <col min="4597" max="4831" width="9.21875" style="9"/>
    <col min="4832" max="4832" width="57.21875" style="9" customWidth="1"/>
    <col min="4833" max="4833" width="6.77734375" style="9" customWidth="1"/>
    <col min="4834" max="4834" width="10.77734375" style="9" customWidth="1"/>
    <col min="4835" max="4835" width="13.21875" style="9" customWidth="1"/>
    <col min="4836" max="4836" width="14.77734375" style="9" customWidth="1"/>
    <col min="4837" max="4840" width="13.5546875" style="9" customWidth="1"/>
    <col min="4841" max="4842" width="0" style="9" hidden="1" customWidth="1"/>
    <col min="4843" max="4848" width="13.5546875" style="9" customWidth="1"/>
    <col min="4849" max="4849" width="15" style="9" customWidth="1"/>
    <col min="4850" max="4851" width="11.5546875" style="9" bestFit="1" customWidth="1"/>
    <col min="4852" max="4852" width="12.5546875" style="9" bestFit="1" customWidth="1"/>
    <col min="4853" max="5087" width="9.21875" style="9"/>
    <col min="5088" max="5088" width="57.21875" style="9" customWidth="1"/>
    <col min="5089" max="5089" width="6.77734375" style="9" customWidth="1"/>
    <col min="5090" max="5090" width="10.77734375" style="9" customWidth="1"/>
    <col min="5091" max="5091" width="13.21875" style="9" customWidth="1"/>
    <col min="5092" max="5092" width="14.77734375" style="9" customWidth="1"/>
    <col min="5093" max="5096" width="13.5546875" style="9" customWidth="1"/>
    <col min="5097" max="5098" width="0" style="9" hidden="1" customWidth="1"/>
    <col min="5099" max="5104" width="13.5546875" style="9" customWidth="1"/>
    <col min="5105" max="5105" width="15" style="9" customWidth="1"/>
    <col min="5106" max="5107" width="11.5546875" style="9" bestFit="1" customWidth="1"/>
    <col min="5108" max="5108" width="12.5546875" style="9" bestFit="1" customWidth="1"/>
    <col min="5109" max="5343" width="9.21875" style="9"/>
    <col min="5344" max="5344" width="57.21875" style="9" customWidth="1"/>
    <col min="5345" max="5345" width="6.77734375" style="9" customWidth="1"/>
    <col min="5346" max="5346" width="10.77734375" style="9" customWidth="1"/>
    <col min="5347" max="5347" width="13.21875" style="9" customWidth="1"/>
    <col min="5348" max="5348" width="14.77734375" style="9" customWidth="1"/>
    <col min="5349" max="5352" width="13.5546875" style="9" customWidth="1"/>
    <col min="5353" max="5354" width="0" style="9" hidden="1" customWidth="1"/>
    <col min="5355" max="5360" width="13.5546875" style="9" customWidth="1"/>
    <col min="5361" max="5361" width="15" style="9" customWidth="1"/>
    <col min="5362" max="5363" width="11.5546875" style="9" bestFit="1" customWidth="1"/>
    <col min="5364" max="5364" width="12.5546875" style="9" bestFit="1" customWidth="1"/>
    <col min="5365" max="5599" width="9.21875" style="9"/>
    <col min="5600" max="5600" width="57.21875" style="9" customWidth="1"/>
    <col min="5601" max="5601" width="6.77734375" style="9" customWidth="1"/>
    <col min="5602" max="5602" width="10.77734375" style="9" customWidth="1"/>
    <col min="5603" max="5603" width="13.21875" style="9" customWidth="1"/>
    <col min="5604" max="5604" width="14.77734375" style="9" customWidth="1"/>
    <col min="5605" max="5608" width="13.5546875" style="9" customWidth="1"/>
    <col min="5609" max="5610" width="0" style="9" hidden="1" customWidth="1"/>
    <col min="5611" max="5616" width="13.5546875" style="9" customWidth="1"/>
    <col min="5617" max="5617" width="15" style="9" customWidth="1"/>
    <col min="5618" max="5619" width="11.5546875" style="9" bestFit="1" customWidth="1"/>
    <col min="5620" max="5620" width="12.5546875" style="9" bestFit="1" customWidth="1"/>
    <col min="5621" max="5855" width="9.21875" style="9"/>
    <col min="5856" max="5856" width="57.21875" style="9" customWidth="1"/>
    <col min="5857" max="5857" width="6.77734375" style="9" customWidth="1"/>
    <col min="5858" max="5858" width="10.77734375" style="9" customWidth="1"/>
    <col min="5859" max="5859" width="13.21875" style="9" customWidth="1"/>
    <col min="5860" max="5860" width="14.77734375" style="9" customWidth="1"/>
    <col min="5861" max="5864" width="13.5546875" style="9" customWidth="1"/>
    <col min="5865" max="5866" width="0" style="9" hidden="1" customWidth="1"/>
    <col min="5867" max="5872" width="13.5546875" style="9" customWidth="1"/>
    <col min="5873" max="5873" width="15" style="9" customWidth="1"/>
    <col min="5874" max="5875" width="11.5546875" style="9" bestFit="1" customWidth="1"/>
    <col min="5876" max="5876" width="12.5546875" style="9" bestFit="1" customWidth="1"/>
    <col min="5877" max="6111" width="9.21875" style="9"/>
    <col min="6112" max="6112" width="57.21875" style="9" customWidth="1"/>
    <col min="6113" max="6113" width="6.77734375" style="9" customWidth="1"/>
    <col min="6114" max="6114" width="10.77734375" style="9" customWidth="1"/>
    <col min="6115" max="6115" width="13.21875" style="9" customWidth="1"/>
    <col min="6116" max="6116" width="14.77734375" style="9" customWidth="1"/>
    <col min="6117" max="6120" width="13.5546875" style="9" customWidth="1"/>
    <col min="6121" max="6122" width="0" style="9" hidden="1" customWidth="1"/>
    <col min="6123" max="6128" width="13.5546875" style="9" customWidth="1"/>
    <col min="6129" max="6129" width="15" style="9" customWidth="1"/>
    <col min="6130" max="6131" width="11.5546875" style="9" bestFit="1" customWidth="1"/>
    <col min="6132" max="6132" width="12.5546875" style="9" bestFit="1" customWidth="1"/>
    <col min="6133" max="6367" width="9.21875" style="9"/>
    <col min="6368" max="6368" width="57.21875" style="9" customWidth="1"/>
    <col min="6369" max="6369" width="6.77734375" style="9" customWidth="1"/>
    <col min="6370" max="6370" width="10.77734375" style="9" customWidth="1"/>
    <col min="6371" max="6371" width="13.21875" style="9" customWidth="1"/>
    <col min="6372" max="6372" width="14.77734375" style="9" customWidth="1"/>
    <col min="6373" max="6376" width="13.5546875" style="9" customWidth="1"/>
    <col min="6377" max="6378" width="0" style="9" hidden="1" customWidth="1"/>
    <col min="6379" max="6384" width="13.5546875" style="9" customWidth="1"/>
    <col min="6385" max="6385" width="15" style="9" customWidth="1"/>
    <col min="6386" max="6387" width="11.5546875" style="9" bestFit="1" customWidth="1"/>
    <col min="6388" max="6388" width="12.5546875" style="9" bestFit="1" customWidth="1"/>
    <col min="6389" max="6623" width="9.21875" style="9"/>
    <col min="6624" max="6624" width="57.21875" style="9" customWidth="1"/>
    <col min="6625" max="6625" width="6.77734375" style="9" customWidth="1"/>
    <col min="6626" max="6626" width="10.77734375" style="9" customWidth="1"/>
    <col min="6627" max="6627" width="13.21875" style="9" customWidth="1"/>
    <col min="6628" max="6628" width="14.77734375" style="9" customWidth="1"/>
    <col min="6629" max="6632" width="13.5546875" style="9" customWidth="1"/>
    <col min="6633" max="6634" width="0" style="9" hidden="1" customWidth="1"/>
    <col min="6635" max="6640" width="13.5546875" style="9" customWidth="1"/>
    <col min="6641" max="6641" width="15" style="9" customWidth="1"/>
    <col min="6642" max="6643" width="11.5546875" style="9" bestFit="1" customWidth="1"/>
    <col min="6644" max="6644" width="12.5546875" style="9" bestFit="1" customWidth="1"/>
    <col min="6645" max="6879" width="9.21875" style="9"/>
    <col min="6880" max="6880" width="57.21875" style="9" customWidth="1"/>
    <col min="6881" max="6881" width="6.77734375" style="9" customWidth="1"/>
    <col min="6882" max="6882" width="10.77734375" style="9" customWidth="1"/>
    <col min="6883" max="6883" width="13.21875" style="9" customWidth="1"/>
    <col min="6884" max="6884" width="14.77734375" style="9" customWidth="1"/>
    <col min="6885" max="6888" width="13.5546875" style="9" customWidth="1"/>
    <col min="6889" max="6890" width="0" style="9" hidden="1" customWidth="1"/>
    <col min="6891" max="6896" width="13.5546875" style="9" customWidth="1"/>
    <col min="6897" max="6897" width="15" style="9" customWidth="1"/>
    <col min="6898" max="6899" width="11.5546875" style="9" bestFit="1" customWidth="1"/>
    <col min="6900" max="6900" width="12.5546875" style="9" bestFit="1" customWidth="1"/>
    <col min="6901" max="7135" width="9.21875" style="9"/>
    <col min="7136" max="7136" width="57.21875" style="9" customWidth="1"/>
    <col min="7137" max="7137" width="6.77734375" style="9" customWidth="1"/>
    <col min="7138" max="7138" width="10.77734375" style="9" customWidth="1"/>
    <col min="7139" max="7139" width="13.21875" style="9" customWidth="1"/>
    <col min="7140" max="7140" width="14.77734375" style="9" customWidth="1"/>
    <col min="7141" max="7144" width="13.5546875" style="9" customWidth="1"/>
    <col min="7145" max="7146" width="0" style="9" hidden="1" customWidth="1"/>
    <col min="7147" max="7152" width="13.5546875" style="9" customWidth="1"/>
    <col min="7153" max="7153" width="15" style="9" customWidth="1"/>
    <col min="7154" max="7155" width="11.5546875" style="9" bestFit="1" customWidth="1"/>
    <col min="7156" max="7156" width="12.5546875" style="9" bestFit="1" customWidth="1"/>
    <col min="7157" max="7391" width="9.21875" style="9"/>
    <col min="7392" max="7392" width="57.21875" style="9" customWidth="1"/>
    <col min="7393" max="7393" width="6.77734375" style="9" customWidth="1"/>
    <col min="7394" max="7394" width="10.77734375" style="9" customWidth="1"/>
    <col min="7395" max="7395" width="13.21875" style="9" customWidth="1"/>
    <col min="7396" max="7396" width="14.77734375" style="9" customWidth="1"/>
    <col min="7397" max="7400" width="13.5546875" style="9" customWidth="1"/>
    <col min="7401" max="7402" width="0" style="9" hidden="1" customWidth="1"/>
    <col min="7403" max="7408" width="13.5546875" style="9" customWidth="1"/>
    <col min="7409" max="7409" width="15" style="9" customWidth="1"/>
    <col min="7410" max="7411" width="11.5546875" style="9" bestFit="1" customWidth="1"/>
    <col min="7412" max="7412" width="12.5546875" style="9" bestFit="1" customWidth="1"/>
    <col min="7413" max="7647" width="9.21875" style="9"/>
    <col min="7648" max="7648" width="57.21875" style="9" customWidth="1"/>
    <col min="7649" max="7649" width="6.77734375" style="9" customWidth="1"/>
    <col min="7650" max="7650" width="10.77734375" style="9" customWidth="1"/>
    <col min="7651" max="7651" width="13.21875" style="9" customWidth="1"/>
    <col min="7652" max="7652" width="14.77734375" style="9" customWidth="1"/>
    <col min="7653" max="7656" width="13.5546875" style="9" customWidth="1"/>
    <col min="7657" max="7658" width="0" style="9" hidden="1" customWidth="1"/>
    <col min="7659" max="7664" width="13.5546875" style="9" customWidth="1"/>
    <col min="7665" max="7665" width="15" style="9" customWidth="1"/>
    <col min="7666" max="7667" width="11.5546875" style="9" bestFit="1" customWidth="1"/>
    <col min="7668" max="7668" width="12.5546875" style="9" bestFit="1" customWidth="1"/>
    <col min="7669" max="7903" width="9.21875" style="9"/>
    <col min="7904" max="7904" width="57.21875" style="9" customWidth="1"/>
    <col min="7905" max="7905" width="6.77734375" style="9" customWidth="1"/>
    <col min="7906" max="7906" width="10.77734375" style="9" customWidth="1"/>
    <col min="7907" max="7907" width="13.21875" style="9" customWidth="1"/>
    <col min="7908" max="7908" width="14.77734375" style="9" customWidth="1"/>
    <col min="7909" max="7912" width="13.5546875" style="9" customWidth="1"/>
    <col min="7913" max="7914" width="0" style="9" hidden="1" customWidth="1"/>
    <col min="7915" max="7920" width="13.5546875" style="9" customWidth="1"/>
    <col min="7921" max="7921" width="15" style="9" customWidth="1"/>
    <col min="7922" max="7923" width="11.5546875" style="9" bestFit="1" customWidth="1"/>
    <col min="7924" max="7924" width="12.5546875" style="9" bestFit="1" customWidth="1"/>
    <col min="7925" max="8159" width="9.21875" style="9"/>
    <col min="8160" max="8160" width="57.21875" style="9" customWidth="1"/>
    <col min="8161" max="8161" width="6.77734375" style="9" customWidth="1"/>
    <col min="8162" max="8162" width="10.77734375" style="9" customWidth="1"/>
    <col min="8163" max="8163" width="13.21875" style="9" customWidth="1"/>
    <col min="8164" max="8164" width="14.77734375" style="9" customWidth="1"/>
    <col min="8165" max="8168" width="13.5546875" style="9" customWidth="1"/>
    <col min="8169" max="8170" width="0" style="9" hidden="1" customWidth="1"/>
    <col min="8171" max="8176" width="13.5546875" style="9" customWidth="1"/>
    <col min="8177" max="8177" width="15" style="9" customWidth="1"/>
    <col min="8178" max="8179" width="11.5546875" style="9" bestFit="1" customWidth="1"/>
    <col min="8180" max="8180" width="12.5546875" style="9" bestFit="1" customWidth="1"/>
    <col min="8181" max="8415" width="9.21875" style="9"/>
    <col min="8416" max="8416" width="57.21875" style="9" customWidth="1"/>
    <col min="8417" max="8417" width="6.77734375" style="9" customWidth="1"/>
    <col min="8418" max="8418" width="10.77734375" style="9" customWidth="1"/>
    <col min="8419" max="8419" width="13.21875" style="9" customWidth="1"/>
    <col min="8420" max="8420" width="14.77734375" style="9" customWidth="1"/>
    <col min="8421" max="8424" width="13.5546875" style="9" customWidth="1"/>
    <col min="8425" max="8426" width="0" style="9" hidden="1" customWidth="1"/>
    <col min="8427" max="8432" width="13.5546875" style="9" customWidth="1"/>
    <col min="8433" max="8433" width="15" style="9" customWidth="1"/>
    <col min="8434" max="8435" width="11.5546875" style="9" bestFit="1" customWidth="1"/>
    <col min="8436" max="8436" width="12.5546875" style="9" bestFit="1" customWidth="1"/>
    <col min="8437" max="8671" width="9.21875" style="9"/>
    <col min="8672" max="8672" width="57.21875" style="9" customWidth="1"/>
    <col min="8673" max="8673" width="6.77734375" style="9" customWidth="1"/>
    <col min="8674" max="8674" width="10.77734375" style="9" customWidth="1"/>
    <col min="8675" max="8675" width="13.21875" style="9" customWidth="1"/>
    <col min="8676" max="8676" width="14.77734375" style="9" customWidth="1"/>
    <col min="8677" max="8680" width="13.5546875" style="9" customWidth="1"/>
    <col min="8681" max="8682" width="0" style="9" hidden="1" customWidth="1"/>
    <col min="8683" max="8688" width="13.5546875" style="9" customWidth="1"/>
    <col min="8689" max="8689" width="15" style="9" customWidth="1"/>
    <col min="8690" max="8691" width="11.5546875" style="9" bestFit="1" customWidth="1"/>
    <col min="8692" max="8692" width="12.5546875" style="9" bestFit="1" customWidth="1"/>
    <col min="8693" max="8927" width="9.21875" style="9"/>
    <col min="8928" max="8928" width="57.21875" style="9" customWidth="1"/>
    <col min="8929" max="8929" width="6.77734375" style="9" customWidth="1"/>
    <col min="8930" max="8930" width="10.77734375" style="9" customWidth="1"/>
    <col min="8931" max="8931" width="13.21875" style="9" customWidth="1"/>
    <col min="8932" max="8932" width="14.77734375" style="9" customWidth="1"/>
    <col min="8933" max="8936" width="13.5546875" style="9" customWidth="1"/>
    <col min="8937" max="8938" width="0" style="9" hidden="1" customWidth="1"/>
    <col min="8939" max="8944" width="13.5546875" style="9" customWidth="1"/>
    <col min="8945" max="8945" width="15" style="9" customWidth="1"/>
    <col min="8946" max="8947" width="11.5546875" style="9" bestFit="1" customWidth="1"/>
    <col min="8948" max="8948" width="12.5546875" style="9" bestFit="1" customWidth="1"/>
    <col min="8949" max="9183" width="9.21875" style="9"/>
    <col min="9184" max="9184" width="57.21875" style="9" customWidth="1"/>
    <col min="9185" max="9185" width="6.77734375" style="9" customWidth="1"/>
    <col min="9186" max="9186" width="10.77734375" style="9" customWidth="1"/>
    <col min="9187" max="9187" width="13.21875" style="9" customWidth="1"/>
    <col min="9188" max="9188" width="14.77734375" style="9" customWidth="1"/>
    <col min="9189" max="9192" width="13.5546875" style="9" customWidth="1"/>
    <col min="9193" max="9194" width="0" style="9" hidden="1" customWidth="1"/>
    <col min="9195" max="9200" width="13.5546875" style="9" customWidth="1"/>
    <col min="9201" max="9201" width="15" style="9" customWidth="1"/>
    <col min="9202" max="9203" width="11.5546875" style="9" bestFit="1" customWidth="1"/>
    <col min="9204" max="9204" width="12.5546875" style="9" bestFit="1" customWidth="1"/>
    <col min="9205" max="9439" width="9.21875" style="9"/>
    <col min="9440" max="9440" width="57.21875" style="9" customWidth="1"/>
    <col min="9441" max="9441" width="6.77734375" style="9" customWidth="1"/>
    <col min="9442" max="9442" width="10.77734375" style="9" customWidth="1"/>
    <col min="9443" max="9443" width="13.21875" style="9" customWidth="1"/>
    <col min="9444" max="9444" width="14.77734375" style="9" customWidth="1"/>
    <col min="9445" max="9448" width="13.5546875" style="9" customWidth="1"/>
    <col min="9449" max="9450" width="0" style="9" hidden="1" customWidth="1"/>
    <col min="9451" max="9456" width="13.5546875" style="9" customWidth="1"/>
    <col min="9457" max="9457" width="15" style="9" customWidth="1"/>
    <col min="9458" max="9459" width="11.5546875" style="9" bestFit="1" customWidth="1"/>
    <col min="9460" max="9460" width="12.5546875" style="9" bestFit="1" customWidth="1"/>
    <col min="9461" max="9695" width="9.21875" style="9"/>
    <col min="9696" max="9696" width="57.21875" style="9" customWidth="1"/>
    <col min="9697" max="9697" width="6.77734375" style="9" customWidth="1"/>
    <col min="9698" max="9698" width="10.77734375" style="9" customWidth="1"/>
    <col min="9699" max="9699" width="13.21875" style="9" customWidth="1"/>
    <col min="9700" max="9700" width="14.77734375" style="9" customWidth="1"/>
    <col min="9701" max="9704" width="13.5546875" style="9" customWidth="1"/>
    <col min="9705" max="9706" width="0" style="9" hidden="1" customWidth="1"/>
    <col min="9707" max="9712" width="13.5546875" style="9" customWidth="1"/>
    <col min="9713" max="9713" width="15" style="9" customWidth="1"/>
    <col min="9714" max="9715" width="11.5546875" style="9" bestFit="1" customWidth="1"/>
    <col min="9716" max="9716" width="12.5546875" style="9" bestFit="1" customWidth="1"/>
    <col min="9717" max="9951" width="9.21875" style="9"/>
    <col min="9952" max="9952" width="57.21875" style="9" customWidth="1"/>
    <col min="9953" max="9953" width="6.77734375" style="9" customWidth="1"/>
    <col min="9954" max="9954" width="10.77734375" style="9" customWidth="1"/>
    <col min="9955" max="9955" width="13.21875" style="9" customWidth="1"/>
    <col min="9956" max="9956" width="14.77734375" style="9" customWidth="1"/>
    <col min="9957" max="9960" width="13.5546875" style="9" customWidth="1"/>
    <col min="9961" max="9962" width="0" style="9" hidden="1" customWidth="1"/>
    <col min="9963" max="9968" width="13.5546875" style="9" customWidth="1"/>
    <col min="9969" max="9969" width="15" style="9" customWidth="1"/>
    <col min="9970" max="9971" width="11.5546875" style="9" bestFit="1" customWidth="1"/>
    <col min="9972" max="9972" width="12.5546875" style="9" bestFit="1" customWidth="1"/>
    <col min="9973" max="10207" width="9.21875" style="9"/>
    <col min="10208" max="10208" width="57.21875" style="9" customWidth="1"/>
    <col min="10209" max="10209" width="6.77734375" style="9" customWidth="1"/>
    <col min="10210" max="10210" width="10.77734375" style="9" customWidth="1"/>
    <col min="10211" max="10211" width="13.21875" style="9" customWidth="1"/>
    <col min="10212" max="10212" width="14.77734375" style="9" customWidth="1"/>
    <col min="10213" max="10216" width="13.5546875" style="9" customWidth="1"/>
    <col min="10217" max="10218" width="0" style="9" hidden="1" customWidth="1"/>
    <col min="10219" max="10224" width="13.5546875" style="9" customWidth="1"/>
    <col min="10225" max="10225" width="15" style="9" customWidth="1"/>
    <col min="10226" max="10227" width="11.5546875" style="9" bestFit="1" customWidth="1"/>
    <col min="10228" max="10228" width="12.5546875" style="9" bestFit="1" customWidth="1"/>
    <col min="10229" max="10463" width="9.21875" style="9"/>
    <col min="10464" max="10464" width="57.21875" style="9" customWidth="1"/>
    <col min="10465" max="10465" width="6.77734375" style="9" customWidth="1"/>
    <col min="10466" max="10466" width="10.77734375" style="9" customWidth="1"/>
    <col min="10467" max="10467" width="13.21875" style="9" customWidth="1"/>
    <col min="10468" max="10468" width="14.77734375" style="9" customWidth="1"/>
    <col min="10469" max="10472" width="13.5546875" style="9" customWidth="1"/>
    <col min="10473" max="10474" width="0" style="9" hidden="1" customWidth="1"/>
    <col min="10475" max="10480" width="13.5546875" style="9" customWidth="1"/>
    <col min="10481" max="10481" width="15" style="9" customWidth="1"/>
    <col min="10482" max="10483" width="11.5546875" style="9" bestFit="1" customWidth="1"/>
    <col min="10484" max="10484" width="12.5546875" style="9" bestFit="1" customWidth="1"/>
    <col min="10485" max="10719" width="9.21875" style="9"/>
    <col min="10720" max="10720" width="57.21875" style="9" customWidth="1"/>
    <col min="10721" max="10721" width="6.77734375" style="9" customWidth="1"/>
    <col min="10722" max="10722" width="10.77734375" style="9" customWidth="1"/>
    <col min="10723" max="10723" width="13.21875" style="9" customWidth="1"/>
    <col min="10724" max="10724" width="14.77734375" style="9" customWidth="1"/>
    <col min="10725" max="10728" width="13.5546875" style="9" customWidth="1"/>
    <col min="10729" max="10730" width="0" style="9" hidden="1" customWidth="1"/>
    <col min="10731" max="10736" width="13.5546875" style="9" customWidth="1"/>
    <col min="10737" max="10737" width="15" style="9" customWidth="1"/>
    <col min="10738" max="10739" width="11.5546875" style="9" bestFit="1" customWidth="1"/>
    <col min="10740" max="10740" width="12.5546875" style="9" bestFit="1" customWidth="1"/>
    <col min="10741" max="10975" width="9.21875" style="9"/>
    <col min="10976" max="10976" width="57.21875" style="9" customWidth="1"/>
    <col min="10977" max="10977" width="6.77734375" style="9" customWidth="1"/>
    <col min="10978" max="10978" width="10.77734375" style="9" customWidth="1"/>
    <col min="10979" max="10979" width="13.21875" style="9" customWidth="1"/>
    <col min="10980" max="10980" width="14.77734375" style="9" customWidth="1"/>
    <col min="10981" max="10984" width="13.5546875" style="9" customWidth="1"/>
    <col min="10985" max="10986" width="0" style="9" hidden="1" customWidth="1"/>
    <col min="10987" max="10992" width="13.5546875" style="9" customWidth="1"/>
    <col min="10993" max="10993" width="15" style="9" customWidth="1"/>
    <col min="10994" max="10995" width="11.5546875" style="9" bestFit="1" customWidth="1"/>
    <col min="10996" max="10996" width="12.5546875" style="9" bestFit="1" customWidth="1"/>
    <col min="10997" max="11231" width="9.21875" style="9"/>
    <col min="11232" max="11232" width="57.21875" style="9" customWidth="1"/>
    <col min="11233" max="11233" width="6.77734375" style="9" customWidth="1"/>
    <col min="11234" max="11234" width="10.77734375" style="9" customWidth="1"/>
    <col min="11235" max="11235" width="13.21875" style="9" customWidth="1"/>
    <col min="11236" max="11236" width="14.77734375" style="9" customWidth="1"/>
    <col min="11237" max="11240" width="13.5546875" style="9" customWidth="1"/>
    <col min="11241" max="11242" width="0" style="9" hidden="1" customWidth="1"/>
    <col min="11243" max="11248" width="13.5546875" style="9" customWidth="1"/>
    <col min="11249" max="11249" width="15" style="9" customWidth="1"/>
    <col min="11250" max="11251" width="11.5546875" style="9" bestFit="1" customWidth="1"/>
    <col min="11252" max="11252" width="12.5546875" style="9" bestFit="1" customWidth="1"/>
    <col min="11253" max="11487" width="9.21875" style="9"/>
    <col min="11488" max="11488" width="57.21875" style="9" customWidth="1"/>
    <col min="11489" max="11489" width="6.77734375" style="9" customWidth="1"/>
    <col min="11490" max="11490" width="10.77734375" style="9" customWidth="1"/>
    <col min="11491" max="11491" width="13.21875" style="9" customWidth="1"/>
    <col min="11492" max="11492" width="14.77734375" style="9" customWidth="1"/>
    <col min="11493" max="11496" width="13.5546875" style="9" customWidth="1"/>
    <col min="11497" max="11498" width="0" style="9" hidden="1" customWidth="1"/>
    <col min="11499" max="11504" width="13.5546875" style="9" customWidth="1"/>
    <col min="11505" max="11505" width="15" style="9" customWidth="1"/>
    <col min="11506" max="11507" width="11.5546875" style="9" bestFit="1" customWidth="1"/>
    <col min="11508" max="11508" width="12.5546875" style="9" bestFit="1" customWidth="1"/>
    <col min="11509" max="11743" width="9.21875" style="9"/>
    <col min="11744" max="11744" width="57.21875" style="9" customWidth="1"/>
    <col min="11745" max="11745" width="6.77734375" style="9" customWidth="1"/>
    <col min="11746" max="11746" width="10.77734375" style="9" customWidth="1"/>
    <col min="11747" max="11747" width="13.21875" style="9" customWidth="1"/>
    <col min="11748" max="11748" width="14.77734375" style="9" customWidth="1"/>
    <col min="11749" max="11752" width="13.5546875" style="9" customWidth="1"/>
    <col min="11753" max="11754" width="0" style="9" hidden="1" customWidth="1"/>
    <col min="11755" max="11760" width="13.5546875" style="9" customWidth="1"/>
    <col min="11761" max="11761" width="15" style="9" customWidth="1"/>
    <col min="11762" max="11763" width="11.5546875" style="9" bestFit="1" customWidth="1"/>
    <col min="11764" max="11764" width="12.5546875" style="9" bestFit="1" customWidth="1"/>
    <col min="11765" max="11999" width="9.21875" style="9"/>
    <col min="12000" max="12000" width="57.21875" style="9" customWidth="1"/>
    <col min="12001" max="12001" width="6.77734375" style="9" customWidth="1"/>
    <col min="12002" max="12002" width="10.77734375" style="9" customWidth="1"/>
    <col min="12003" max="12003" width="13.21875" style="9" customWidth="1"/>
    <col min="12004" max="12004" width="14.77734375" style="9" customWidth="1"/>
    <col min="12005" max="12008" width="13.5546875" style="9" customWidth="1"/>
    <col min="12009" max="12010" width="0" style="9" hidden="1" customWidth="1"/>
    <col min="12011" max="12016" width="13.5546875" style="9" customWidth="1"/>
    <col min="12017" max="12017" width="15" style="9" customWidth="1"/>
    <col min="12018" max="12019" width="11.5546875" style="9" bestFit="1" customWidth="1"/>
    <col min="12020" max="12020" width="12.5546875" style="9" bestFit="1" customWidth="1"/>
    <col min="12021" max="12255" width="9.21875" style="9"/>
    <col min="12256" max="12256" width="57.21875" style="9" customWidth="1"/>
    <col min="12257" max="12257" width="6.77734375" style="9" customWidth="1"/>
    <col min="12258" max="12258" width="10.77734375" style="9" customWidth="1"/>
    <col min="12259" max="12259" width="13.21875" style="9" customWidth="1"/>
    <col min="12260" max="12260" width="14.77734375" style="9" customWidth="1"/>
    <col min="12261" max="12264" width="13.5546875" style="9" customWidth="1"/>
    <col min="12265" max="12266" width="0" style="9" hidden="1" customWidth="1"/>
    <col min="12267" max="12272" width="13.5546875" style="9" customWidth="1"/>
    <col min="12273" max="12273" width="15" style="9" customWidth="1"/>
    <col min="12274" max="12275" width="11.5546875" style="9" bestFit="1" customWidth="1"/>
    <col min="12276" max="12276" width="12.5546875" style="9" bestFit="1" customWidth="1"/>
    <col min="12277" max="12511" width="9.21875" style="9"/>
    <col min="12512" max="12512" width="57.21875" style="9" customWidth="1"/>
    <col min="12513" max="12513" width="6.77734375" style="9" customWidth="1"/>
    <col min="12514" max="12514" width="10.77734375" style="9" customWidth="1"/>
    <col min="12515" max="12515" width="13.21875" style="9" customWidth="1"/>
    <col min="12516" max="12516" width="14.77734375" style="9" customWidth="1"/>
    <col min="12517" max="12520" width="13.5546875" style="9" customWidth="1"/>
    <col min="12521" max="12522" width="0" style="9" hidden="1" customWidth="1"/>
    <col min="12523" max="12528" width="13.5546875" style="9" customWidth="1"/>
    <col min="12529" max="12529" width="15" style="9" customWidth="1"/>
    <col min="12530" max="12531" width="11.5546875" style="9" bestFit="1" customWidth="1"/>
    <col min="12532" max="12532" width="12.5546875" style="9" bestFit="1" customWidth="1"/>
    <col min="12533" max="12767" width="9.21875" style="9"/>
    <col min="12768" max="12768" width="57.21875" style="9" customWidth="1"/>
    <col min="12769" max="12769" width="6.77734375" style="9" customWidth="1"/>
    <col min="12770" max="12770" width="10.77734375" style="9" customWidth="1"/>
    <col min="12771" max="12771" width="13.21875" style="9" customWidth="1"/>
    <col min="12772" max="12772" width="14.77734375" style="9" customWidth="1"/>
    <col min="12773" max="12776" width="13.5546875" style="9" customWidth="1"/>
    <col min="12777" max="12778" width="0" style="9" hidden="1" customWidth="1"/>
    <col min="12779" max="12784" width="13.5546875" style="9" customWidth="1"/>
    <col min="12785" max="12785" width="15" style="9" customWidth="1"/>
    <col min="12786" max="12787" width="11.5546875" style="9" bestFit="1" customWidth="1"/>
    <col min="12788" max="12788" width="12.5546875" style="9" bestFit="1" customWidth="1"/>
    <col min="12789" max="13023" width="9.21875" style="9"/>
    <col min="13024" max="13024" width="57.21875" style="9" customWidth="1"/>
    <col min="13025" max="13025" width="6.77734375" style="9" customWidth="1"/>
    <col min="13026" max="13026" width="10.77734375" style="9" customWidth="1"/>
    <col min="13027" max="13027" width="13.21875" style="9" customWidth="1"/>
    <col min="13028" max="13028" width="14.77734375" style="9" customWidth="1"/>
    <col min="13029" max="13032" width="13.5546875" style="9" customWidth="1"/>
    <col min="13033" max="13034" width="0" style="9" hidden="1" customWidth="1"/>
    <col min="13035" max="13040" width="13.5546875" style="9" customWidth="1"/>
    <col min="13041" max="13041" width="15" style="9" customWidth="1"/>
    <col min="13042" max="13043" width="11.5546875" style="9" bestFit="1" customWidth="1"/>
    <col min="13044" max="13044" width="12.5546875" style="9" bestFit="1" customWidth="1"/>
    <col min="13045" max="13279" width="9.21875" style="9"/>
    <col min="13280" max="13280" width="57.21875" style="9" customWidth="1"/>
    <col min="13281" max="13281" width="6.77734375" style="9" customWidth="1"/>
    <col min="13282" max="13282" width="10.77734375" style="9" customWidth="1"/>
    <col min="13283" max="13283" width="13.21875" style="9" customWidth="1"/>
    <col min="13284" max="13284" width="14.77734375" style="9" customWidth="1"/>
    <col min="13285" max="13288" width="13.5546875" style="9" customWidth="1"/>
    <col min="13289" max="13290" width="0" style="9" hidden="1" customWidth="1"/>
    <col min="13291" max="13296" width="13.5546875" style="9" customWidth="1"/>
    <col min="13297" max="13297" width="15" style="9" customWidth="1"/>
    <col min="13298" max="13299" width="11.5546875" style="9" bestFit="1" customWidth="1"/>
    <col min="13300" max="13300" width="12.5546875" style="9" bestFit="1" customWidth="1"/>
    <col min="13301" max="13535" width="9.21875" style="9"/>
    <col min="13536" max="13536" width="57.21875" style="9" customWidth="1"/>
    <col min="13537" max="13537" width="6.77734375" style="9" customWidth="1"/>
    <col min="13538" max="13538" width="10.77734375" style="9" customWidth="1"/>
    <col min="13539" max="13539" width="13.21875" style="9" customWidth="1"/>
    <col min="13540" max="13540" width="14.77734375" style="9" customWidth="1"/>
    <col min="13541" max="13544" width="13.5546875" style="9" customWidth="1"/>
    <col min="13545" max="13546" width="0" style="9" hidden="1" customWidth="1"/>
    <col min="13547" max="13552" width="13.5546875" style="9" customWidth="1"/>
    <col min="13553" max="13553" width="15" style="9" customWidth="1"/>
    <col min="13554" max="13555" width="11.5546875" style="9" bestFit="1" customWidth="1"/>
    <col min="13556" max="13556" width="12.5546875" style="9" bestFit="1" customWidth="1"/>
    <col min="13557" max="13791" width="9.21875" style="9"/>
    <col min="13792" max="13792" width="57.21875" style="9" customWidth="1"/>
    <col min="13793" max="13793" width="6.77734375" style="9" customWidth="1"/>
    <col min="13794" max="13794" width="10.77734375" style="9" customWidth="1"/>
    <col min="13795" max="13795" width="13.21875" style="9" customWidth="1"/>
    <col min="13796" max="13796" width="14.77734375" style="9" customWidth="1"/>
    <col min="13797" max="13800" width="13.5546875" style="9" customWidth="1"/>
    <col min="13801" max="13802" width="0" style="9" hidden="1" customWidth="1"/>
    <col min="13803" max="13808" width="13.5546875" style="9" customWidth="1"/>
    <col min="13809" max="13809" width="15" style="9" customWidth="1"/>
    <col min="13810" max="13811" width="11.5546875" style="9" bestFit="1" customWidth="1"/>
    <col min="13812" max="13812" width="12.5546875" style="9" bestFit="1" customWidth="1"/>
    <col min="13813" max="14047" width="9.21875" style="9"/>
    <col min="14048" max="14048" width="57.21875" style="9" customWidth="1"/>
    <col min="14049" max="14049" width="6.77734375" style="9" customWidth="1"/>
    <col min="14050" max="14050" width="10.77734375" style="9" customWidth="1"/>
    <col min="14051" max="14051" width="13.21875" style="9" customWidth="1"/>
    <col min="14052" max="14052" width="14.77734375" style="9" customWidth="1"/>
    <col min="14053" max="14056" width="13.5546875" style="9" customWidth="1"/>
    <col min="14057" max="14058" width="0" style="9" hidden="1" customWidth="1"/>
    <col min="14059" max="14064" width="13.5546875" style="9" customWidth="1"/>
    <col min="14065" max="14065" width="15" style="9" customWidth="1"/>
    <col min="14066" max="14067" width="11.5546875" style="9" bestFit="1" customWidth="1"/>
    <col min="14068" max="14068" width="12.5546875" style="9" bestFit="1" customWidth="1"/>
    <col min="14069" max="14303" width="9.21875" style="9"/>
    <col min="14304" max="14304" width="57.21875" style="9" customWidth="1"/>
    <col min="14305" max="14305" width="6.77734375" style="9" customWidth="1"/>
    <col min="14306" max="14306" width="10.77734375" style="9" customWidth="1"/>
    <col min="14307" max="14307" width="13.21875" style="9" customWidth="1"/>
    <col min="14308" max="14308" width="14.77734375" style="9" customWidth="1"/>
    <col min="14309" max="14312" width="13.5546875" style="9" customWidth="1"/>
    <col min="14313" max="14314" width="0" style="9" hidden="1" customWidth="1"/>
    <col min="14315" max="14320" width="13.5546875" style="9" customWidth="1"/>
    <col min="14321" max="14321" width="15" style="9" customWidth="1"/>
    <col min="14322" max="14323" width="11.5546875" style="9" bestFit="1" customWidth="1"/>
    <col min="14324" max="14324" width="12.5546875" style="9" bestFit="1" customWidth="1"/>
    <col min="14325" max="14559" width="9.21875" style="9"/>
    <col min="14560" max="14560" width="57.21875" style="9" customWidth="1"/>
    <col min="14561" max="14561" width="6.77734375" style="9" customWidth="1"/>
    <col min="14562" max="14562" width="10.77734375" style="9" customWidth="1"/>
    <col min="14563" max="14563" width="13.21875" style="9" customWidth="1"/>
    <col min="14564" max="14564" width="14.77734375" style="9" customWidth="1"/>
    <col min="14565" max="14568" width="13.5546875" style="9" customWidth="1"/>
    <col min="14569" max="14570" width="0" style="9" hidden="1" customWidth="1"/>
    <col min="14571" max="14576" width="13.5546875" style="9" customWidth="1"/>
    <col min="14577" max="14577" width="15" style="9" customWidth="1"/>
    <col min="14578" max="14579" width="11.5546875" style="9" bestFit="1" customWidth="1"/>
    <col min="14580" max="14580" width="12.5546875" style="9" bestFit="1" customWidth="1"/>
    <col min="14581" max="14815" width="9.21875" style="9"/>
    <col min="14816" max="14816" width="57.21875" style="9" customWidth="1"/>
    <col min="14817" max="14817" width="6.77734375" style="9" customWidth="1"/>
    <col min="14818" max="14818" width="10.77734375" style="9" customWidth="1"/>
    <col min="14819" max="14819" width="13.21875" style="9" customWidth="1"/>
    <col min="14820" max="14820" width="14.77734375" style="9" customWidth="1"/>
    <col min="14821" max="14824" width="13.5546875" style="9" customWidth="1"/>
    <col min="14825" max="14826" width="0" style="9" hidden="1" customWidth="1"/>
    <col min="14827" max="14832" width="13.5546875" style="9" customWidth="1"/>
    <col min="14833" max="14833" width="15" style="9" customWidth="1"/>
    <col min="14834" max="14835" width="11.5546875" style="9" bestFit="1" customWidth="1"/>
    <col min="14836" max="14836" width="12.5546875" style="9" bestFit="1" customWidth="1"/>
    <col min="14837" max="15071" width="9.21875" style="9"/>
    <col min="15072" max="15072" width="57.21875" style="9" customWidth="1"/>
    <col min="15073" max="15073" width="6.77734375" style="9" customWidth="1"/>
    <col min="15074" max="15074" width="10.77734375" style="9" customWidth="1"/>
    <col min="15075" max="15075" width="13.21875" style="9" customWidth="1"/>
    <col min="15076" max="15076" width="14.77734375" style="9" customWidth="1"/>
    <col min="15077" max="15080" width="13.5546875" style="9" customWidth="1"/>
    <col min="15081" max="15082" width="0" style="9" hidden="1" customWidth="1"/>
    <col min="15083" max="15088" width="13.5546875" style="9" customWidth="1"/>
    <col min="15089" max="15089" width="15" style="9" customWidth="1"/>
    <col min="15090" max="15091" width="11.5546875" style="9" bestFit="1" customWidth="1"/>
    <col min="15092" max="15092" width="12.5546875" style="9" bestFit="1" customWidth="1"/>
    <col min="15093" max="15327" width="9.21875" style="9"/>
    <col min="15328" max="15328" width="57.21875" style="9" customWidth="1"/>
    <col min="15329" max="15329" width="6.77734375" style="9" customWidth="1"/>
    <col min="15330" max="15330" width="10.77734375" style="9" customWidth="1"/>
    <col min="15331" max="15331" width="13.21875" style="9" customWidth="1"/>
    <col min="15332" max="15332" width="14.77734375" style="9" customWidth="1"/>
    <col min="15333" max="15336" width="13.5546875" style="9" customWidth="1"/>
    <col min="15337" max="15338" width="0" style="9" hidden="1" customWidth="1"/>
    <col min="15339" max="15344" width="13.5546875" style="9" customWidth="1"/>
    <col min="15345" max="15345" width="15" style="9" customWidth="1"/>
    <col min="15346" max="15347" width="11.5546875" style="9" bestFit="1" customWidth="1"/>
    <col min="15348" max="15348" width="12.5546875" style="9" bestFit="1" customWidth="1"/>
    <col min="15349" max="15583" width="9.21875" style="9"/>
    <col min="15584" max="15584" width="57.21875" style="9" customWidth="1"/>
    <col min="15585" max="15585" width="6.77734375" style="9" customWidth="1"/>
    <col min="15586" max="15586" width="10.77734375" style="9" customWidth="1"/>
    <col min="15587" max="15587" width="13.21875" style="9" customWidth="1"/>
    <col min="15588" max="15588" width="14.77734375" style="9" customWidth="1"/>
    <col min="15589" max="15592" width="13.5546875" style="9" customWidth="1"/>
    <col min="15593" max="15594" width="0" style="9" hidden="1" customWidth="1"/>
    <col min="15595" max="15600" width="13.5546875" style="9" customWidth="1"/>
    <col min="15601" max="15601" width="15" style="9" customWidth="1"/>
    <col min="15602" max="15603" width="11.5546875" style="9" bestFit="1" customWidth="1"/>
    <col min="15604" max="15604" width="12.5546875" style="9" bestFit="1" customWidth="1"/>
    <col min="15605" max="15839" width="9.21875" style="9"/>
    <col min="15840" max="15840" width="57.21875" style="9" customWidth="1"/>
    <col min="15841" max="15841" width="6.77734375" style="9" customWidth="1"/>
    <col min="15842" max="15842" width="10.77734375" style="9" customWidth="1"/>
    <col min="15843" max="15843" width="13.21875" style="9" customWidth="1"/>
    <col min="15844" max="15844" width="14.77734375" style="9" customWidth="1"/>
    <col min="15845" max="15848" width="13.5546875" style="9" customWidth="1"/>
    <col min="15849" max="15850" width="0" style="9" hidden="1" customWidth="1"/>
    <col min="15851" max="15856" width="13.5546875" style="9" customWidth="1"/>
    <col min="15857" max="15857" width="15" style="9" customWidth="1"/>
    <col min="15858" max="15859" width="11.5546875" style="9" bestFit="1" customWidth="1"/>
    <col min="15860" max="15860" width="12.5546875" style="9" bestFit="1" customWidth="1"/>
    <col min="15861" max="16095" width="9.21875" style="9"/>
    <col min="16096" max="16096" width="57.21875" style="9" customWidth="1"/>
    <col min="16097" max="16097" width="6.77734375" style="9" customWidth="1"/>
    <col min="16098" max="16098" width="10.77734375" style="9" customWidth="1"/>
    <col min="16099" max="16099" width="13.21875" style="9" customWidth="1"/>
    <col min="16100" max="16100" width="14.77734375" style="9" customWidth="1"/>
    <col min="16101" max="16104" width="13.5546875" style="9" customWidth="1"/>
    <col min="16105" max="16106" width="0" style="9" hidden="1" customWidth="1"/>
    <col min="16107" max="16112" width="13.5546875" style="9" customWidth="1"/>
    <col min="16113" max="16113" width="15" style="9" customWidth="1"/>
    <col min="16114" max="16115" width="11.5546875" style="9" bestFit="1" customWidth="1"/>
    <col min="16116" max="16116" width="12.5546875" style="9" bestFit="1" customWidth="1"/>
    <col min="16117" max="16384" width="9.21875" style="9"/>
  </cols>
  <sheetData>
    <row r="1" spans="1:18" s="104" customFormat="1" ht="66.599999999999994" customHeight="1" thickBot="1" x14ac:dyDescent="0.35">
      <c r="A1" s="290"/>
      <c r="B1" s="291"/>
      <c r="C1" s="291"/>
      <c r="D1" s="291"/>
      <c r="E1" s="291"/>
      <c r="F1" s="292"/>
    </row>
    <row r="2" spans="1:18" ht="24" thickBot="1" x14ac:dyDescent="0.35">
      <c r="A2" s="299" t="s">
        <v>356</v>
      </c>
      <c r="B2" s="300"/>
      <c r="C2" s="300"/>
      <c r="D2" s="300"/>
      <c r="E2" s="300"/>
      <c r="F2" s="301"/>
      <c r="G2" s="8"/>
      <c r="J2" s="225">
        <v>1</v>
      </c>
    </row>
    <row r="3" spans="1:18" s="101" customFormat="1" ht="24.6" thickTop="1" x14ac:dyDescent="0.3">
      <c r="A3" s="168" t="s">
        <v>4</v>
      </c>
      <c r="B3" s="169" t="s">
        <v>5</v>
      </c>
      <c r="C3" s="170" t="s">
        <v>0</v>
      </c>
      <c r="D3" s="170" t="s">
        <v>412</v>
      </c>
      <c r="E3" s="169" t="s">
        <v>6</v>
      </c>
      <c r="F3" s="171" t="s">
        <v>353</v>
      </c>
      <c r="G3" s="176" t="s">
        <v>538</v>
      </c>
      <c r="H3" s="176" t="s">
        <v>525</v>
      </c>
      <c r="I3" s="176" t="s">
        <v>526</v>
      </c>
      <c r="J3" s="176" t="s">
        <v>527</v>
      </c>
      <c r="K3" s="176" t="s">
        <v>528</v>
      </c>
      <c r="L3" s="176" t="s">
        <v>987</v>
      </c>
      <c r="M3" s="176" t="s">
        <v>530</v>
      </c>
      <c r="N3" s="176" t="s">
        <v>531</v>
      </c>
      <c r="O3" s="176" t="s">
        <v>532</v>
      </c>
      <c r="P3" s="176" t="s">
        <v>533</v>
      </c>
      <c r="Q3" s="176" t="s">
        <v>534</v>
      </c>
      <c r="R3" s="176" t="s">
        <v>535</v>
      </c>
    </row>
    <row r="4" spans="1:18" ht="15.6" x14ac:dyDescent="0.3">
      <c r="A4" s="258">
        <v>16</v>
      </c>
      <c r="B4" s="148" t="s">
        <v>13</v>
      </c>
      <c r="C4" s="149"/>
      <c r="D4" s="149"/>
      <c r="E4" s="150"/>
      <c r="F4" s="226"/>
      <c r="G4" s="177"/>
      <c r="H4" s="178"/>
      <c r="I4" s="178"/>
      <c r="J4" s="178"/>
      <c r="K4" s="178"/>
      <c r="L4" s="178"/>
      <c r="M4" s="178"/>
      <c r="N4" s="178"/>
      <c r="O4" s="178"/>
      <c r="P4" s="178"/>
      <c r="Q4" s="178"/>
      <c r="R4" s="178"/>
    </row>
    <row r="5" spans="1:18" ht="15.6" x14ac:dyDescent="0.3">
      <c r="A5" s="259"/>
      <c r="B5" s="12"/>
      <c r="C5" s="10"/>
      <c r="D5" s="10"/>
      <c r="E5" s="11"/>
      <c r="F5" s="227"/>
      <c r="G5" s="177"/>
      <c r="H5" s="178"/>
      <c r="I5" s="178"/>
      <c r="J5" s="178"/>
      <c r="K5" s="178"/>
      <c r="L5" s="178"/>
      <c r="M5" s="178"/>
      <c r="N5" s="178"/>
      <c r="O5" s="178"/>
      <c r="P5" s="178"/>
      <c r="Q5" s="178"/>
      <c r="R5" s="178"/>
    </row>
    <row r="6" spans="1:18" ht="15.6" x14ac:dyDescent="0.3">
      <c r="A6" s="260"/>
      <c r="B6" s="13" t="s">
        <v>14</v>
      </c>
      <c r="C6" s="14"/>
      <c r="D6" s="14"/>
      <c r="E6" s="15"/>
      <c r="F6" s="22"/>
      <c r="G6" s="174"/>
      <c r="H6" s="174"/>
      <c r="I6" s="174"/>
      <c r="J6" s="174"/>
      <c r="K6" s="174"/>
      <c r="L6" s="174"/>
      <c r="M6" s="174" t="s">
        <v>541</v>
      </c>
      <c r="N6" s="175"/>
      <c r="O6" s="175"/>
      <c r="P6" s="175"/>
      <c r="Q6" s="175"/>
      <c r="R6" s="175"/>
    </row>
    <row r="7" spans="1:18" ht="140.4" x14ac:dyDescent="0.3">
      <c r="A7" s="266">
        <v>16.100000000000001</v>
      </c>
      <c r="B7" s="16" t="s">
        <v>959</v>
      </c>
      <c r="C7" s="17"/>
      <c r="D7" s="17"/>
      <c r="E7" s="18"/>
      <c r="F7" s="22"/>
      <c r="G7" s="177"/>
      <c r="H7" s="178"/>
      <c r="I7" s="178"/>
      <c r="J7" s="178"/>
      <c r="K7" s="178"/>
      <c r="L7" s="178"/>
      <c r="M7" s="178"/>
      <c r="N7" s="178"/>
      <c r="O7" s="178"/>
      <c r="P7" s="178"/>
      <c r="Q7" s="236" t="s">
        <v>961</v>
      </c>
      <c r="R7" s="178"/>
    </row>
    <row r="8" spans="1:18" ht="22.8" x14ac:dyDescent="0.3">
      <c r="A8" s="244" t="s">
        <v>995</v>
      </c>
      <c r="B8" s="19" t="s">
        <v>15</v>
      </c>
      <c r="C8" s="20" t="s">
        <v>9</v>
      </c>
      <c r="D8" s="20">
        <v>1</v>
      </c>
      <c r="E8" s="222">
        <f>ROUNDUP(H8*$J$2,0)</f>
        <v>14000</v>
      </c>
      <c r="F8" s="222">
        <f t="shared" ref="F8:F35" si="0">D8*E8</f>
        <v>14000</v>
      </c>
      <c r="G8" s="172" t="s">
        <v>539</v>
      </c>
      <c r="H8" s="157">
        <f t="shared" ref="H8:H15" si="1">K8</f>
        <v>14000</v>
      </c>
      <c r="I8" s="172" t="s">
        <v>540</v>
      </c>
      <c r="J8" s="159"/>
      <c r="K8" s="160">
        <f t="shared" ref="K8:K15" si="2">L8+M8+N8+O8+P8</f>
        <v>14000</v>
      </c>
      <c r="L8" s="160">
        <v>0</v>
      </c>
      <c r="M8" s="161">
        <v>11700</v>
      </c>
      <c r="N8" s="160">
        <v>200</v>
      </c>
      <c r="O8" s="162">
        <v>1600</v>
      </c>
      <c r="P8" s="160">
        <v>500</v>
      </c>
      <c r="Q8" s="173"/>
      <c r="R8" s="173" t="s">
        <v>989</v>
      </c>
    </row>
    <row r="9" spans="1:18" ht="22.8" x14ac:dyDescent="0.3">
      <c r="A9" s="244" t="s">
        <v>16</v>
      </c>
      <c r="B9" s="19" t="s">
        <v>17</v>
      </c>
      <c r="C9" s="20" t="s">
        <v>9</v>
      </c>
      <c r="D9" s="20">
        <v>1</v>
      </c>
      <c r="E9" s="222">
        <f t="shared" ref="E9:E15" si="3">ROUNDUP(H9*$J$2,0)</f>
        <v>12700</v>
      </c>
      <c r="F9" s="22">
        <f t="shared" si="0"/>
        <v>12700</v>
      </c>
      <c r="G9" s="172" t="s">
        <v>539</v>
      </c>
      <c r="H9" s="157">
        <f t="shared" si="1"/>
        <v>12700</v>
      </c>
      <c r="I9" s="172" t="s">
        <v>540</v>
      </c>
      <c r="J9" s="159"/>
      <c r="K9" s="160">
        <f t="shared" si="2"/>
        <v>12700</v>
      </c>
      <c r="L9" s="160">
        <v>0</v>
      </c>
      <c r="M9" s="161">
        <v>10400</v>
      </c>
      <c r="N9" s="160">
        <v>200</v>
      </c>
      <c r="O9" s="162">
        <v>1600</v>
      </c>
      <c r="P9" s="160">
        <v>500</v>
      </c>
      <c r="Q9" s="173"/>
      <c r="R9" s="173" t="s">
        <v>989</v>
      </c>
    </row>
    <row r="10" spans="1:18" ht="22.8" x14ac:dyDescent="0.3">
      <c r="A10" s="244" t="s">
        <v>18</v>
      </c>
      <c r="B10" s="19" t="s">
        <v>19</v>
      </c>
      <c r="C10" s="20" t="s">
        <v>9</v>
      </c>
      <c r="D10" s="20">
        <v>1</v>
      </c>
      <c r="E10" s="222">
        <f t="shared" si="3"/>
        <v>11400</v>
      </c>
      <c r="F10" s="22">
        <f t="shared" si="0"/>
        <v>11400</v>
      </c>
      <c r="G10" s="172" t="s">
        <v>539</v>
      </c>
      <c r="H10" s="157">
        <f t="shared" si="1"/>
        <v>11400</v>
      </c>
      <c r="I10" s="172" t="s">
        <v>540</v>
      </c>
      <c r="J10" s="159"/>
      <c r="K10" s="160">
        <f t="shared" si="2"/>
        <v>11400</v>
      </c>
      <c r="L10" s="160">
        <v>0</v>
      </c>
      <c r="M10" s="161">
        <v>9100</v>
      </c>
      <c r="N10" s="160">
        <v>200</v>
      </c>
      <c r="O10" s="162">
        <v>1600</v>
      </c>
      <c r="P10" s="160">
        <v>500</v>
      </c>
      <c r="Q10" s="173"/>
      <c r="R10" s="173" t="s">
        <v>989</v>
      </c>
    </row>
    <row r="11" spans="1:18" ht="22.8" x14ac:dyDescent="0.3">
      <c r="A11" s="244" t="s">
        <v>20</v>
      </c>
      <c r="B11" s="19" t="s">
        <v>21</v>
      </c>
      <c r="C11" s="20" t="s">
        <v>9</v>
      </c>
      <c r="D11" s="20">
        <v>1</v>
      </c>
      <c r="E11" s="222">
        <f t="shared" si="3"/>
        <v>10100</v>
      </c>
      <c r="F11" s="22">
        <f t="shared" si="0"/>
        <v>10100</v>
      </c>
      <c r="G11" s="172" t="s">
        <v>539</v>
      </c>
      <c r="H11" s="157">
        <f t="shared" si="1"/>
        <v>10100</v>
      </c>
      <c r="I11" s="172" t="s">
        <v>540</v>
      </c>
      <c r="J11" s="159"/>
      <c r="K11" s="160">
        <f t="shared" si="2"/>
        <v>10100</v>
      </c>
      <c r="L11" s="160">
        <v>0</v>
      </c>
      <c r="M11" s="161">
        <v>7800</v>
      </c>
      <c r="N11" s="160">
        <v>200</v>
      </c>
      <c r="O11" s="162">
        <v>1600</v>
      </c>
      <c r="P11" s="160">
        <v>500</v>
      </c>
      <c r="Q11" s="173"/>
      <c r="R11" s="173" t="s">
        <v>989</v>
      </c>
    </row>
    <row r="12" spans="1:18" ht="22.8" x14ac:dyDescent="0.3">
      <c r="A12" s="244" t="s">
        <v>22</v>
      </c>
      <c r="B12" s="19" t="s">
        <v>23</v>
      </c>
      <c r="C12" s="20" t="s">
        <v>9</v>
      </c>
      <c r="D12" s="20">
        <v>1</v>
      </c>
      <c r="E12" s="222">
        <f t="shared" si="3"/>
        <v>9450</v>
      </c>
      <c r="F12" s="22">
        <f t="shared" si="0"/>
        <v>9450</v>
      </c>
      <c r="G12" s="172" t="s">
        <v>539</v>
      </c>
      <c r="H12" s="157">
        <f t="shared" si="1"/>
        <v>9450</v>
      </c>
      <c r="I12" s="172" t="s">
        <v>540</v>
      </c>
      <c r="J12" s="159"/>
      <c r="K12" s="160">
        <f t="shared" si="2"/>
        <v>9450</v>
      </c>
      <c r="L12" s="160">
        <v>0</v>
      </c>
      <c r="M12" s="161">
        <v>7150</v>
      </c>
      <c r="N12" s="160">
        <v>200</v>
      </c>
      <c r="O12" s="162">
        <v>1600</v>
      </c>
      <c r="P12" s="160">
        <v>500</v>
      </c>
      <c r="Q12" s="173"/>
      <c r="R12" s="173" t="s">
        <v>989</v>
      </c>
    </row>
    <row r="13" spans="1:18" ht="22.8" x14ac:dyDescent="0.3">
      <c r="A13" s="244" t="s">
        <v>24</v>
      </c>
      <c r="B13" s="19" t="s">
        <v>25</v>
      </c>
      <c r="C13" s="20" t="s">
        <v>9</v>
      </c>
      <c r="D13" s="20">
        <v>1</v>
      </c>
      <c r="E13" s="222">
        <f t="shared" si="3"/>
        <v>8475</v>
      </c>
      <c r="F13" s="22">
        <f t="shared" si="0"/>
        <v>8475</v>
      </c>
      <c r="G13" s="172" t="s">
        <v>539</v>
      </c>
      <c r="H13" s="157">
        <f t="shared" si="1"/>
        <v>8475</v>
      </c>
      <c r="I13" s="172" t="s">
        <v>540</v>
      </c>
      <c r="J13" s="159"/>
      <c r="K13" s="160">
        <f t="shared" si="2"/>
        <v>8475</v>
      </c>
      <c r="L13" s="160">
        <v>0</v>
      </c>
      <c r="M13" s="161">
        <v>6175</v>
      </c>
      <c r="N13" s="160">
        <v>200</v>
      </c>
      <c r="O13" s="162">
        <v>1600</v>
      </c>
      <c r="P13" s="160">
        <v>500</v>
      </c>
      <c r="Q13" s="173"/>
      <c r="R13" s="173" t="s">
        <v>989</v>
      </c>
    </row>
    <row r="14" spans="1:18" ht="22.8" x14ac:dyDescent="0.3">
      <c r="A14" s="244" t="s">
        <v>26</v>
      </c>
      <c r="B14" s="19" t="s">
        <v>27</v>
      </c>
      <c r="C14" s="20" t="s">
        <v>9</v>
      </c>
      <c r="D14" s="20">
        <v>1</v>
      </c>
      <c r="E14" s="222">
        <f t="shared" si="3"/>
        <v>7825</v>
      </c>
      <c r="F14" s="22">
        <f t="shared" si="0"/>
        <v>7825</v>
      </c>
      <c r="G14" s="172" t="s">
        <v>539</v>
      </c>
      <c r="H14" s="157">
        <f t="shared" si="1"/>
        <v>7825</v>
      </c>
      <c r="I14" s="172" t="s">
        <v>540</v>
      </c>
      <c r="J14" s="159"/>
      <c r="K14" s="160">
        <f t="shared" si="2"/>
        <v>7825</v>
      </c>
      <c r="L14" s="160">
        <v>0</v>
      </c>
      <c r="M14" s="161">
        <v>5525</v>
      </c>
      <c r="N14" s="160">
        <v>200</v>
      </c>
      <c r="O14" s="162">
        <v>1600</v>
      </c>
      <c r="P14" s="160">
        <v>500</v>
      </c>
      <c r="Q14" s="173"/>
      <c r="R14" s="173" t="s">
        <v>989</v>
      </c>
    </row>
    <row r="15" spans="1:18" ht="22.8" x14ac:dyDescent="0.3">
      <c r="A15" s="244" t="s">
        <v>28</v>
      </c>
      <c r="B15" s="19" t="s">
        <v>29</v>
      </c>
      <c r="C15" s="20" t="s">
        <v>9</v>
      </c>
      <c r="D15" s="20">
        <v>1</v>
      </c>
      <c r="E15" s="222">
        <f t="shared" si="3"/>
        <v>36400</v>
      </c>
      <c r="F15" s="23">
        <f t="shared" si="0"/>
        <v>36400</v>
      </c>
      <c r="G15" s="172" t="s">
        <v>539</v>
      </c>
      <c r="H15" s="157">
        <f t="shared" si="1"/>
        <v>36400</v>
      </c>
      <c r="I15" s="172" t="s">
        <v>540</v>
      </c>
      <c r="J15" s="159"/>
      <c r="K15" s="160">
        <f t="shared" si="2"/>
        <v>36400</v>
      </c>
      <c r="L15" s="160">
        <v>0</v>
      </c>
      <c r="M15" s="161">
        <v>30000</v>
      </c>
      <c r="N15" s="160">
        <v>400</v>
      </c>
      <c r="O15" s="162">
        <v>5000</v>
      </c>
      <c r="P15" s="160">
        <v>1000</v>
      </c>
      <c r="Q15" s="173"/>
      <c r="R15" s="173" t="s">
        <v>989</v>
      </c>
    </row>
    <row r="16" spans="1:18" ht="15.6" x14ac:dyDescent="0.3">
      <c r="A16" s="262"/>
      <c r="B16" s="19"/>
      <c r="C16" s="24"/>
      <c r="D16" s="24"/>
      <c r="E16" s="18"/>
      <c r="F16" s="22"/>
      <c r="G16" s="177"/>
      <c r="H16" s="178"/>
      <c r="I16" s="178"/>
      <c r="J16" s="178"/>
      <c r="K16" s="178"/>
      <c r="L16" s="178"/>
      <c r="M16" s="178"/>
      <c r="N16" s="178"/>
      <c r="O16" s="178"/>
      <c r="P16" s="178"/>
      <c r="Q16" s="178"/>
      <c r="R16" s="178"/>
    </row>
    <row r="17" spans="1:18" ht="15.6" x14ac:dyDescent="0.3">
      <c r="A17" s="263"/>
      <c r="B17" s="19"/>
      <c r="C17" s="20"/>
      <c r="D17" s="20"/>
      <c r="E17" s="25"/>
      <c r="F17" s="22"/>
      <c r="G17" s="177"/>
      <c r="H17" s="178"/>
      <c r="I17" s="178"/>
      <c r="J17" s="178"/>
      <c r="K17" s="178"/>
      <c r="L17" s="178"/>
      <c r="M17" s="178"/>
      <c r="N17" s="178"/>
      <c r="O17" s="178"/>
      <c r="P17" s="178"/>
      <c r="Q17" s="178"/>
      <c r="R17" s="178"/>
    </row>
    <row r="18" spans="1:18" ht="15.6" x14ac:dyDescent="0.3">
      <c r="A18" s="261"/>
      <c r="B18" s="26" t="s">
        <v>30</v>
      </c>
      <c r="C18" s="20"/>
      <c r="D18" s="20"/>
      <c r="E18" s="18"/>
      <c r="F18" s="22"/>
      <c r="G18" s="196"/>
      <c r="H18" s="196"/>
      <c r="I18" s="196"/>
      <c r="J18" s="196"/>
      <c r="K18" s="196"/>
      <c r="L18" s="196"/>
      <c r="M18" s="195" t="s">
        <v>542</v>
      </c>
      <c r="N18" s="196"/>
      <c r="O18" s="196"/>
      <c r="P18" s="196"/>
      <c r="Q18" s="196"/>
      <c r="R18" s="196"/>
    </row>
    <row r="19" spans="1:18" ht="15.6" x14ac:dyDescent="0.3">
      <c r="A19" s="263"/>
      <c r="B19" s="19"/>
      <c r="C19" s="20"/>
      <c r="D19" s="20"/>
      <c r="E19" s="25"/>
      <c r="F19" s="22"/>
      <c r="G19" s="177"/>
      <c r="H19" s="178"/>
      <c r="I19" s="178"/>
      <c r="J19" s="178"/>
      <c r="K19" s="178"/>
      <c r="L19" s="178"/>
      <c r="M19" s="178"/>
      <c r="N19" s="178"/>
      <c r="O19" s="178"/>
      <c r="P19" s="178"/>
      <c r="Q19" s="178"/>
      <c r="R19" s="178"/>
    </row>
    <row r="20" spans="1:18" ht="124.8" x14ac:dyDescent="0.3">
      <c r="A20" s="266">
        <v>16.8</v>
      </c>
      <c r="B20" s="19" t="s">
        <v>988</v>
      </c>
      <c r="C20" s="20"/>
      <c r="D20" s="20"/>
      <c r="E20" s="18"/>
      <c r="F20" s="22"/>
      <c r="G20" s="177"/>
      <c r="H20" s="178"/>
      <c r="I20" s="178"/>
      <c r="J20" s="178"/>
      <c r="K20" s="178"/>
      <c r="L20" s="178" t="s">
        <v>972</v>
      </c>
      <c r="M20" s="178"/>
      <c r="N20" s="178"/>
      <c r="O20" s="178"/>
      <c r="P20" s="178"/>
      <c r="Q20" s="236" t="s">
        <v>962</v>
      </c>
      <c r="R20" s="178"/>
    </row>
    <row r="21" spans="1:18" ht="15.6" x14ac:dyDescent="0.3">
      <c r="A21" s="244" t="s">
        <v>31</v>
      </c>
      <c r="B21" s="19" t="s">
        <v>32</v>
      </c>
      <c r="C21" s="20" t="s">
        <v>7</v>
      </c>
      <c r="D21" s="20">
        <v>1000</v>
      </c>
      <c r="E21" s="21">
        <f t="shared" ref="E21:E27" si="4">ROUNDUP(H21*$J$2,0)</f>
        <v>42</v>
      </c>
      <c r="F21" s="22">
        <f t="shared" si="0"/>
        <v>42000</v>
      </c>
      <c r="G21" s="172" t="s">
        <v>543</v>
      </c>
      <c r="H21" s="157">
        <f t="shared" ref="H21:H27" si="5">K21</f>
        <v>41.65</v>
      </c>
      <c r="I21" s="172" t="s">
        <v>544</v>
      </c>
      <c r="J21" s="159"/>
      <c r="K21" s="160">
        <f>L21+M21+N21</f>
        <v>41.65</v>
      </c>
      <c r="L21" s="160">
        <v>0</v>
      </c>
      <c r="M21" s="161">
        <v>40</v>
      </c>
      <c r="N21" s="160">
        <v>1.65</v>
      </c>
      <c r="O21" s="162">
        <v>13.75</v>
      </c>
      <c r="P21" s="160">
        <v>2</v>
      </c>
      <c r="Q21" s="173"/>
      <c r="R21" s="173" t="s">
        <v>544</v>
      </c>
    </row>
    <row r="22" spans="1:18" ht="15.6" x14ac:dyDescent="0.3">
      <c r="A22" s="244" t="s">
        <v>33</v>
      </c>
      <c r="B22" s="19" t="s">
        <v>34</v>
      </c>
      <c r="C22" s="20" t="s">
        <v>7</v>
      </c>
      <c r="D22" s="20">
        <v>1000</v>
      </c>
      <c r="E22" s="21">
        <f t="shared" si="4"/>
        <v>127</v>
      </c>
      <c r="F22" s="22">
        <f t="shared" si="0"/>
        <v>127000</v>
      </c>
      <c r="G22" s="172" t="s">
        <v>543</v>
      </c>
      <c r="H22" s="157">
        <f t="shared" si="5"/>
        <v>127</v>
      </c>
      <c r="I22" s="172" t="s">
        <v>544</v>
      </c>
      <c r="J22" s="159"/>
      <c r="K22" s="160">
        <f t="shared" ref="K22:K26" si="6">L22+M22+N22</f>
        <v>127</v>
      </c>
      <c r="L22" s="160">
        <v>0</v>
      </c>
      <c r="M22" s="161">
        <v>125</v>
      </c>
      <c r="N22" s="160">
        <v>2</v>
      </c>
      <c r="O22" s="162">
        <v>30</v>
      </c>
      <c r="P22" s="160">
        <v>2</v>
      </c>
      <c r="Q22" s="173"/>
      <c r="R22" s="173" t="s">
        <v>544</v>
      </c>
    </row>
    <row r="23" spans="1:18" ht="15.6" x14ac:dyDescent="0.3">
      <c r="A23" s="244" t="s">
        <v>35</v>
      </c>
      <c r="B23" s="19" t="s">
        <v>36</v>
      </c>
      <c r="C23" s="20" t="s">
        <v>7</v>
      </c>
      <c r="D23" s="20">
        <v>400</v>
      </c>
      <c r="E23" s="21">
        <f t="shared" si="4"/>
        <v>200</v>
      </c>
      <c r="F23" s="22">
        <f t="shared" si="0"/>
        <v>80000</v>
      </c>
      <c r="G23" s="172" t="s">
        <v>543</v>
      </c>
      <c r="H23" s="157">
        <f t="shared" si="5"/>
        <v>200</v>
      </c>
      <c r="I23" s="172" t="s">
        <v>544</v>
      </c>
      <c r="J23" s="159"/>
      <c r="K23" s="160">
        <f t="shared" si="6"/>
        <v>200</v>
      </c>
      <c r="L23" s="160">
        <v>0</v>
      </c>
      <c r="M23" s="161">
        <v>198</v>
      </c>
      <c r="N23" s="160">
        <v>2</v>
      </c>
      <c r="O23" s="162">
        <v>40</v>
      </c>
      <c r="P23" s="160">
        <v>2</v>
      </c>
      <c r="Q23" s="173"/>
      <c r="R23" s="173" t="s">
        <v>544</v>
      </c>
    </row>
    <row r="24" spans="1:18" ht="15.6" x14ac:dyDescent="0.3">
      <c r="A24" s="244" t="s">
        <v>37</v>
      </c>
      <c r="B24" s="19" t="s">
        <v>38</v>
      </c>
      <c r="C24" s="20" t="s">
        <v>7</v>
      </c>
      <c r="D24" s="20">
        <v>1000</v>
      </c>
      <c r="E24" s="21">
        <f t="shared" si="4"/>
        <v>16</v>
      </c>
      <c r="F24" s="22">
        <f t="shared" si="0"/>
        <v>16000</v>
      </c>
      <c r="G24" s="172" t="s">
        <v>543</v>
      </c>
      <c r="H24" s="157">
        <f t="shared" si="5"/>
        <v>15.54</v>
      </c>
      <c r="I24" s="172" t="s">
        <v>544</v>
      </c>
      <c r="J24" s="159"/>
      <c r="K24" s="160">
        <f t="shared" si="6"/>
        <v>15.54</v>
      </c>
      <c r="L24" s="160">
        <v>0</v>
      </c>
      <c r="M24" s="161">
        <v>15</v>
      </c>
      <c r="N24" s="160">
        <v>0.54</v>
      </c>
      <c r="O24" s="162">
        <v>4</v>
      </c>
      <c r="P24" s="160">
        <v>1</v>
      </c>
      <c r="Q24" s="173"/>
      <c r="R24" s="173" t="s">
        <v>544</v>
      </c>
    </row>
    <row r="25" spans="1:18" ht="15.6" x14ac:dyDescent="0.3">
      <c r="A25" s="244" t="s">
        <v>39</v>
      </c>
      <c r="B25" s="19" t="s">
        <v>40</v>
      </c>
      <c r="C25" s="20" t="s">
        <v>7</v>
      </c>
      <c r="D25" s="20">
        <v>1000</v>
      </c>
      <c r="E25" s="21">
        <f t="shared" si="4"/>
        <v>20</v>
      </c>
      <c r="F25" s="22">
        <f t="shared" si="0"/>
        <v>20000</v>
      </c>
      <c r="G25" s="172" t="s">
        <v>543</v>
      </c>
      <c r="H25" s="157">
        <f t="shared" si="5"/>
        <v>19.84</v>
      </c>
      <c r="I25" s="172" t="s">
        <v>544</v>
      </c>
      <c r="J25" s="159"/>
      <c r="K25" s="160">
        <f t="shared" si="6"/>
        <v>19.84</v>
      </c>
      <c r="L25" s="160">
        <v>0</v>
      </c>
      <c r="M25" s="161">
        <v>19</v>
      </c>
      <c r="N25" s="160">
        <v>0.84</v>
      </c>
      <c r="O25" s="162">
        <v>5</v>
      </c>
      <c r="P25" s="160">
        <v>1</v>
      </c>
      <c r="Q25" s="173"/>
      <c r="R25" s="173" t="s">
        <v>544</v>
      </c>
    </row>
    <row r="26" spans="1:18" ht="15.6" x14ac:dyDescent="0.3">
      <c r="A26" s="244" t="s">
        <v>41</v>
      </c>
      <c r="B26" s="19" t="s">
        <v>42</v>
      </c>
      <c r="C26" s="20" t="s">
        <v>7</v>
      </c>
      <c r="D26" s="20">
        <v>400</v>
      </c>
      <c r="E26" s="21">
        <f t="shared" si="4"/>
        <v>30</v>
      </c>
      <c r="F26" s="22">
        <f t="shared" si="0"/>
        <v>12000</v>
      </c>
      <c r="G26" s="172" t="s">
        <v>543</v>
      </c>
      <c r="H26" s="157">
        <f t="shared" si="5"/>
        <v>29.26</v>
      </c>
      <c r="I26" s="172" t="s">
        <v>544</v>
      </c>
      <c r="J26" s="159"/>
      <c r="K26" s="160">
        <f t="shared" si="6"/>
        <v>29.26</v>
      </c>
      <c r="L26" s="160">
        <v>0</v>
      </c>
      <c r="M26" s="161">
        <v>28</v>
      </c>
      <c r="N26" s="160">
        <v>1.26</v>
      </c>
      <c r="O26" s="162">
        <v>7</v>
      </c>
      <c r="P26" s="160">
        <v>1</v>
      </c>
      <c r="Q26" s="173"/>
      <c r="R26" s="173" t="s">
        <v>544</v>
      </c>
    </row>
    <row r="27" spans="1:18" ht="15.6" x14ac:dyDescent="0.3">
      <c r="A27" s="244" t="s">
        <v>43</v>
      </c>
      <c r="B27" s="19" t="s">
        <v>44</v>
      </c>
      <c r="C27" s="20" t="s">
        <v>45</v>
      </c>
      <c r="D27" s="20">
        <v>1</v>
      </c>
      <c r="E27" s="21">
        <f t="shared" si="4"/>
        <v>78750</v>
      </c>
      <c r="F27" s="22">
        <f t="shared" si="0"/>
        <v>78750</v>
      </c>
      <c r="G27" s="172" t="s">
        <v>543</v>
      </c>
      <c r="H27" s="157">
        <f t="shared" si="5"/>
        <v>78750</v>
      </c>
      <c r="I27" s="172" t="s">
        <v>545</v>
      </c>
      <c r="J27" s="242"/>
      <c r="K27" s="160">
        <f t="shared" ref="K27" si="7">L27+M27+N27+O27+P27</f>
        <v>78750</v>
      </c>
      <c r="L27" s="160">
        <v>0</v>
      </c>
      <c r="M27" s="161"/>
      <c r="N27" s="160"/>
      <c r="O27" s="162">
        <f>SUMPRODUCT($D$21:$D$26,$O$21:$O$26)</f>
        <v>71550</v>
      </c>
      <c r="P27" s="160">
        <f>SUMPRODUCT($D$21:$D$26,$P$21:$P$26)</f>
        <v>7200</v>
      </c>
      <c r="Q27" s="173"/>
      <c r="R27" s="173" t="s">
        <v>544</v>
      </c>
    </row>
    <row r="28" spans="1:18" ht="15.6" x14ac:dyDescent="0.3">
      <c r="A28" s="262"/>
      <c r="B28" s="28"/>
      <c r="C28" s="24"/>
      <c r="D28" s="24"/>
      <c r="E28" s="18"/>
      <c r="F28" s="22"/>
      <c r="G28" s="177"/>
      <c r="H28" s="178"/>
      <c r="I28" s="178"/>
      <c r="J28" s="178"/>
      <c r="K28" s="178"/>
      <c r="L28" s="178"/>
      <c r="M28" s="178"/>
      <c r="N28" s="178"/>
      <c r="O28" s="178"/>
      <c r="P28" s="178"/>
      <c r="Q28" s="178"/>
      <c r="R28" s="178"/>
    </row>
    <row r="29" spans="1:18" ht="24" x14ac:dyDescent="0.3">
      <c r="A29" s="263"/>
      <c r="B29" s="29" t="s">
        <v>46</v>
      </c>
      <c r="C29" s="24"/>
      <c r="D29" s="24"/>
      <c r="E29" s="18"/>
      <c r="F29" s="22"/>
      <c r="G29" s="196"/>
      <c r="H29" s="196"/>
      <c r="I29" s="196"/>
      <c r="J29" s="196"/>
      <c r="K29" s="196"/>
      <c r="L29" s="196"/>
      <c r="M29" s="195" t="s">
        <v>546</v>
      </c>
      <c r="N29" s="196"/>
      <c r="O29" s="196"/>
      <c r="P29" s="196"/>
      <c r="Q29" s="196"/>
      <c r="R29" s="196"/>
    </row>
    <row r="30" spans="1:18" ht="93.6" x14ac:dyDescent="0.3">
      <c r="A30" s="267">
        <v>16.899999999999999</v>
      </c>
      <c r="B30" s="27" t="s">
        <v>963</v>
      </c>
      <c r="C30" s="24"/>
      <c r="D30" s="24"/>
      <c r="E30" s="18"/>
      <c r="F30" s="22"/>
      <c r="G30" s="177"/>
      <c r="H30" s="178"/>
      <c r="I30" s="178"/>
      <c r="J30" s="178"/>
      <c r="K30" s="178"/>
      <c r="L30" s="178"/>
      <c r="M30" s="178"/>
      <c r="N30" s="178"/>
      <c r="O30" s="178"/>
      <c r="P30" s="178"/>
      <c r="Q30" s="178"/>
      <c r="R30" s="178"/>
    </row>
    <row r="31" spans="1:18" ht="22.8" x14ac:dyDescent="0.3">
      <c r="A31" s="244" t="s">
        <v>47</v>
      </c>
      <c r="B31" s="19" t="s">
        <v>413</v>
      </c>
      <c r="C31" s="20" t="s">
        <v>9</v>
      </c>
      <c r="D31" s="20">
        <v>327</v>
      </c>
      <c r="E31" s="21">
        <f t="shared" ref="E31:E37" si="8">ROUNDUP(H31*$J$2,0)</f>
        <v>270</v>
      </c>
      <c r="F31" s="22">
        <f t="shared" si="0"/>
        <v>88290</v>
      </c>
      <c r="G31" s="172" t="s">
        <v>547</v>
      </c>
      <c r="H31" s="157">
        <f t="shared" ref="H31:H37" si="9">K31</f>
        <v>269.09999999999997</v>
      </c>
      <c r="I31" s="172" t="s">
        <v>548</v>
      </c>
      <c r="J31" s="159"/>
      <c r="K31" s="160">
        <f>(Table1[[#This Row],[OUTLET
(P)مخرج الكهربا ]]/6)+Table1[[#This Row],[Wastage
(R)]]+Table1[[#This Row],[Access
(T)]]</f>
        <v>269.09999999999997</v>
      </c>
      <c r="L31" s="160">
        <f t="shared" ref="L31" si="10">L32+L33+L34+L35+L36+L37</f>
        <v>1554.6</v>
      </c>
      <c r="M31" s="160"/>
      <c r="N31" s="160">
        <v>5</v>
      </c>
      <c r="O31" s="160"/>
      <c r="P31" s="160">
        <v>5</v>
      </c>
      <c r="Q31" s="173"/>
      <c r="R31" s="173" t="s">
        <v>990</v>
      </c>
    </row>
    <row r="32" spans="1:18" ht="15.6" x14ac:dyDescent="0.3">
      <c r="A32" s="244" t="s">
        <v>48</v>
      </c>
      <c r="B32" s="19" t="s">
        <v>414</v>
      </c>
      <c r="C32" s="20" t="s">
        <v>9</v>
      </c>
      <c r="D32" s="20">
        <v>100</v>
      </c>
      <c r="E32" s="21">
        <f t="shared" si="8"/>
        <v>56</v>
      </c>
      <c r="F32" s="22">
        <f t="shared" si="0"/>
        <v>5600</v>
      </c>
      <c r="G32" s="172" t="s">
        <v>549</v>
      </c>
      <c r="H32" s="157">
        <f t="shared" si="9"/>
        <v>56</v>
      </c>
      <c r="I32" s="172" t="s">
        <v>548</v>
      </c>
      <c r="J32" s="159"/>
      <c r="K32" s="160">
        <f>M32+N32+O32+P32</f>
        <v>56</v>
      </c>
      <c r="L32" s="160">
        <f>'بريك داون كهرباء'!Q24</f>
        <v>170</v>
      </c>
      <c r="M32" s="161">
        <v>40</v>
      </c>
      <c r="N32" s="160">
        <v>3</v>
      </c>
      <c r="O32" s="162">
        <v>10</v>
      </c>
      <c r="P32" s="160">
        <v>3</v>
      </c>
      <c r="Q32" s="173"/>
      <c r="R32" s="173" t="s">
        <v>990</v>
      </c>
    </row>
    <row r="33" spans="1:18" ht="15.6" x14ac:dyDescent="0.3">
      <c r="A33" s="244" t="s">
        <v>49</v>
      </c>
      <c r="B33" s="19" t="s">
        <v>415</v>
      </c>
      <c r="C33" s="20" t="s">
        <v>9</v>
      </c>
      <c r="D33" s="20">
        <v>20</v>
      </c>
      <c r="E33" s="21">
        <f t="shared" si="8"/>
        <v>83</v>
      </c>
      <c r="F33" s="22">
        <f t="shared" si="0"/>
        <v>1660</v>
      </c>
      <c r="G33" s="172" t="s">
        <v>549</v>
      </c>
      <c r="H33" s="157">
        <f t="shared" si="9"/>
        <v>83</v>
      </c>
      <c r="I33" s="172" t="s">
        <v>548</v>
      </c>
      <c r="J33" s="159"/>
      <c r="K33" s="160">
        <f t="shared" ref="K33:K37" si="11">M33+N33+O33+P33</f>
        <v>83</v>
      </c>
      <c r="L33" s="160">
        <f>'بريك داون كهرباء'!Q25</f>
        <v>251</v>
      </c>
      <c r="M33" s="161">
        <v>65</v>
      </c>
      <c r="N33" s="160">
        <v>3</v>
      </c>
      <c r="O33" s="162">
        <v>10</v>
      </c>
      <c r="P33" s="160">
        <v>5</v>
      </c>
      <c r="Q33" s="173"/>
      <c r="R33" s="173" t="s">
        <v>990</v>
      </c>
    </row>
    <row r="34" spans="1:18" ht="22.8" x14ac:dyDescent="0.3">
      <c r="A34" s="244" t="s">
        <v>50</v>
      </c>
      <c r="B34" s="19" t="s">
        <v>416</v>
      </c>
      <c r="C34" s="20" t="s">
        <v>9</v>
      </c>
      <c r="D34" s="20">
        <v>130</v>
      </c>
      <c r="E34" s="21">
        <f t="shared" si="8"/>
        <v>96</v>
      </c>
      <c r="F34" s="22">
        <f t="shared" si="0"/>
        <v>12480</v>
      </c>
      <c r="G34" s="172" t="s">
        <v>547</v>
      </c>
      <c r="H34" s="157">
        <f t="shared" si="9"/>
        <v>96</v>
      </c>
      <c r="I34" s="172" t="s">
        <v>550</v>
      </c>
      <c r="J34" s="159"/>
      <c r="K34" s="160">
        <f t="shared" si="11"/>
        <v>96</v>
      </c>
      <c r="L34" s="160">
        <f>'بريك داون كهرباء'!Q26</f>
        <v>170</v>
      </c>
      <c r="M34" s="161">
        <v>80</v>
      </c>
      <c r="N34" s="160">
        <v>3</v>
      </c>
      <c r="O34" s="162">
        <v>10</v>
      </c>
      <c r="P34" s="160">
        <v>3</v>
      </c>
      <c r="Q34" s="173"/>
      <c r="R34" s="173" t="s">
        <v>990</v>
      </c>
    </row>
    <row r="35" spans="1:18" ht="22.8" x14ac:dyDescent="0.3">
      <c r="A35" s="244" t="s">
        <v>51</v>
      </c>
      <c r="B35" s="19" t="s">
        <v>417</v>
      </c>
      <c r="C35" s="20" t="s">
        <v>9</v>
      </c>
      <c r="D35" s="20">
        <v>70</v>
      </c>
      <c r="E35" s="21">
        <f t="shared" si="8"/>
        <v>148</v>
      </c>
      <c r="F35" s="22">
        <f t="shared" si="0"/>
        <v>10360</v>
      </c>
      <c r="G35" s="172" t="s">
        <v>547</v>
      </c>
      <c r="H35" s="157">
        <f t="shared" si="9"/>
        <v>148</v>
      </c>
      <c r="I35" s="172" t="s">
        <v>550</v>
      </c>
      <c r="J35" s="159"/>
      <c r="K35" s="160">
        <f t="shared" si="11"/>
        <v>148</v>
      </c>
      <c r="L35" s="160">
        <f>'بريك داون كهرباء'!Q27</f>
        <v>170</v>
      </c>
      <c r="M35" s="161">
        <v>130</v>
      </c>
      <c r="N35" s="160">
        <v>3</v>
      </c>
      <c r="O35" s="162">
        <v>10</v>
      </c>
      <c r="P35" s="160">
        <v>5</v>
      </c>
      <c r="Q35" s="173"/>
      <c r="R35" s="173" t="s">
        <v>990</v>
      </c>
    </row>
    <row r="36" spans="1:18" ht="22.8" x14ac:dyDescent="0.3">
      <c r="A36" s="244" t="s">
        <v>52</v>
      </c>
      <c r="B36" s="19" t="s">
        <v>418</v>
      </c>
      <c r="C36" s="20" t="s">
        <v>9</v>
      </c>
      <c r="D36" s="20">
        <v>5</v>
      </c>
      <c r="E36" s="21">
        <f t="shared" si="8"/>
        <v>371</v>
      </c>
      <c r="F36" s="22">
        <f t="shared" ref="F36:F65" si="12">D36*E36</f>
        <v>1855</v>
      </c>
      <c r="G36" s="172" t="s">
        <v>547</v>
      </c>
      <c r="H36" s="157">
        <f t="shared" si="9"/>
        <v>370.6</v>
      </c>
      <c r="I36" s="172" t="s">
        <v>548</v>
      </c>
      <c r="J36" s="159"/>
      <c r="K36" s="160">
        <f t="shared" si="11"/>
        <v>370.6</v>
      </c>
      <c r="L36" s="160">
        <f>'بريك داون كهرباء'!Q28</f>
        <v>514</v>
      </c>
      <c r="M36" s="161">
        <v>250</v>
      </c>
      <c r="N36" s="160">
        <v>20.6</v>
      </c>
      <c r="O36" s="162">
        <v>80</v>
      </c>
      <c r="P36" s="160">
        <v>20</v>
      </c>
      <c r="Q36" s="173"/>
      <c r="R36" s="173" t="s">
        <v>990</v>
      </c>
    </row>
    <row r="37" spans="1:18" ht="34.200000000000003" x14ac:dyDescent="0.3">
      <c r="A37" s="244" t="s">
        <v>53</v>
      </c>
      <c r="B37" s="19" t="s">
        <v>419</v>
      </c>
      <c r="C37" s="20" t="s">
        <v>9</v>
      </c>
      <c r="D37" s="20">
        <v>2</v>
      </c>
      <c r="E37" s="21">
        <f t="shared" si="8"/>
        <v>866</v>
      </c>
      <c r="F37" s="22">
        <f t="shared" si="12"/>
        <v>1732</v>
      </c>
      <c r="G37" s="172" t="s">
        <v>547</v>
      </c>
      <c r="H37" s="157">
        <f t="shared" si="9"/>
        <v>865.5</v>
      </c>
      <c r="I37" s="172" t="s">
        <v>548</v>
      </c>
      <c r="J37" s="159"/>
      <c r="K37" s="160">
        <f t="shared" si="11"/>
        <v>865.5</v>
      </c>
      <c r="L37" s="160">
        <f>'بريك داون كهرباء'!Q29</f>
        <v>279.60000000000002</v>
      </c>
      <c r="M37" s="161">
        <v>797.5</v>
      </c>
      <c r="N37" s="160">
        <v>10</v>
      </c>
      <c r="O37" s="162">
        <v>50</v>
      </c>
      <c r="P37" s="160">
        <v>8</v>
      </c>
      <c r="Q37" s="237" t="s">
        <v>964</v>
      </c>
      <c r="R37" s="173" t="s">
        <v>990</v>
      </c>
    </row>
    <row r="38" spans="1:18" ht="15.6" x14ac:dyDescent="0.3">
      <c r="A38" s="262"/>
      <c r="B38" s="20"/>
      <c r="C38" s="20"/>
      <c r="D38" s="20"/>
      <c r="E38" s="18"/>
      <c r="F38" s="22"/>
      <c r="G38" s="177"/>
      <c r="H38" s="178"/>
      <c r="I38" s="178"/>
      <c r="J38" s="178"/>
      <c r="K38" s="178"/>
      <c r="L38" s="178"/>
      <c r="M38" s="178"/>
      <c r="N38" s="178"/>
      <c r="O38" s="178"/>
      <c r="P38" s="178"/>
      <c r="Q38" s="178"/>
      <c r="R38" s="178"/>
    </row>
    <row r="39" spans="1:18" ht="15.6" x14ac:dyDescent="0.3">
      <c r="A39" s="264"/>
      <c r="B39" s="29" t="s">
        <v>54</v>
      </c>
      <c r="C39" s="20"/>
      <c r="D39" s="20"/>
      <c r="E39" s="18"/>
      <c r="F39" s="22"/>
      <c r="G39" s="177"/>
      <c r="H39" s="178"/>
      <c r="I39" s="178"/>
      <c r="J39" s="178"/>
      <c r="K39" s="178"/>
      <c r="L39" s="178"/>
      <c r="M39" s="178"/>
      <c r="N39" s="178"/>
      <c r="O39" s="178"/>
      <c r="P39" s="178"/>
      <c r="Q39" s="178"/>
      <c r="R39" s="178"/>
    </row>
    <row r="40" spans="1:18" ht="62.4" x14ac:dyDescent="0.3">
      <c r="A40" s="243">
        <v>16.100000000000001</v>
      </c>
      <c r="B40" s="27" t="s">
        <v>55</v>
      </c>
      <c r="C40" s="20"/>
      <c r="D40" s="20"/>
      <c r="E40" s="18"/>
      <c r="F40" s="22"/>
      <c r="G40" s="177"/>
      <c r="H40" s="178"/>
      <c r="I40" s="178"/>
      <c r="J40" s="178"/>
      <c r="K40" s="178"/>
      <c r="L40" s="178"/>
      <c r="M40" s="178"/>
      <c r="N40" s="178"/>
      <c r="O40" s="178"/>
      <c r="P40" s="178"/>
      <c r="Q40" s="178"/>
      <c r="R40" s="178"/>
    </row>
    <row r="41" spans="1:18" ht="22.8" x14ac:dyDescent="0.3">
      <c r="A41" s="244" t="s">
        <v>56</v>
      </c>
      <c r="B41" s="19" t="s">
        <v>420</v>
      </c>
      <c r="C41" s="20" t="s">
        <v>9</v>
      </c>
      <c r="D41" s="20">
        <v>20</v>
      </c>
      <c r="E41" s="21">
        <f>ROUNDUP(H41*$J$2,0)</f>
        <v>879</v>
      </c>
      <c r="F41" s="22">
        <f t="shared" si="12"/>
        <v>17580</v>
      </c>
      <c r="G41" s="172" t="s">
        <v>547</v>
      </c>
      <c r="H41" s="157">
        <f t="shared" ref="H41" si="13">K41</f>
        <v>879</v>
      </c>
      <c r="I41" s="172" t="s">
        <v>540</v>
      </c>
      <c r="J41" s="159"/>
      <c r="K41" s="160">
        <f>L41+M41+N41+O41+P41</f>
        <v>879</v>
      </c>
      <c r="L41" s="160">
        <f>'بريك داون كهرباء'!Q30</f>
        <v>534</v>
      </c>
      <c r="M41" s="161">
        <v>280</v>
      </c>
      <c r="N41" s="160">
        <v>10</v>
      </c>
      <c r="O41" s="162">
        <v>50</v>
      </c>
      <c r="P41" s="160">
        <v>5</v>
      </c>
      <c r="Q41" s="173"/>
      <c r="R41" s="173" t="s">
        <v>994</v>
      </c>
    </row>
    <row r="42" spans="1:18" ht="15.6" x14ac:dyDescent="0.3">
      <c r="A42" s="262"/>
      <c r="B42" s="19"/>
      <c r="C42" s="20"/>
      <c r="D42" s="20"/>
      <c r="E42" s="18"/>
      <c r="F42" s="22"/>
      <c r="G42" s="177"/>
      <c r="H42" s="178"/>
      <c r="I42" s="178"/>
      <c r="J42" s="178"/>
      <c r="K42" s="178"/>
      <c r="L42" s="178"/>
      <c r="M42" s="178"/>
      <c r="N42" s="178"/>
      <c r="O42" s="178"/>
      <c r="P42" s="178"/>
      <c r="Q42" s="178"/>
      <c r="R42" s="178"/>
    </row>
    <row r="43" spans="1:18" ht="15.6" x14ac:dyDescent="0.3">
      <c r="A43" s="261"/>
      <c r="B43" s="26" t="s">
        <v>57</v>
      </c>
      <c r="C43" s="20"/>
      <c r="D43" s="20"/>
      <c r="E43" s="18"/>
      <c r="F43" s="22"/>
      <c r="G43" s="195"/>
      <c r="H43" s="196"/>
      <c r="I43" s="196"/>
      <c r="J43" s="196"/>
      <c r="K43" s="196"/>
      <c r="L43" s="196"/>
      <c r="M43" s="195" t="s">
        <v>551</v>
      </c>
      <c r="N43" s="196"/>
      <c r="O43" s="196"/>
      <c r="P43" s="196"/>
      <c r="Q43" s="196"/>
      <c r="R43" s="196"/>
    </row>
    <row r="44" spans="1:18" ht="93.6" x14ac:dyDescent="0.3">
      <c r="A44" s="266">
        <v>16.11</v>
      </c>
      <c r="B44" s="19" t="s">
        <v>996</v>
      </c>
      <c r="C44" s="20"/>
      <c r="D44" s="20"/>
      <c r="E44" s="18"/>
      <c r="F44" s="22"/>
      <c r="G44" s="177"/>
      <c r="H44" s="178"/>
      <c r="I44" s="178"/>
      <c r="J44" s="178"/>
      <c r="K44" s="178"/>
      <c r="L44" s="178"/>
      <c r="M44" s="178"/>
      <c r="N44" s="178"/>
      <c r="O44" s="178"/>
      <c r="P44" s="178"/>
      <c r="Q44" s="178"/>
      <c r="R44" s="178"/>
    </row>
    <row r="45" spans="1:18" ht="15.6" x14ac:dyDescent="0.3">
      <c r="A45" s="268" t="s">
        <v>58</v>
      </c>
      <c r="B45" s="19" t="s">
        <v>421</v>
      </c>
      <c r="C45" s="20" t="s">
        <v>9</v>
      </c>
      <c r="D45" s="20">
        <v>284</v>
      </c>
      <c r="E45" s="21">
        <f t="shared" ref="E45:E57" si="14">ROUNDUP(H45*$J$2,0)</f>
        <v>166</v>
      </c>
      <c r="F45" s="22">
        <f t="shared" si="12"/>
        <v>47144</v>
      </c>
      <c r="G45" s="172" t="s">
        <v>552</v>
      </c>
      <c r="H45" s="157">
        <f t="shared" ref="H45:H57" si="15">K45</f>
        <v>165.31818181818181</v>
      </c>
      <c r="I45" s="172"/>
      <c r="J45" s="159"/>
      <c r="K45" s="160">
        <f>(Table1[[#This Row],[OUTLET
(P)مخرج الكهربا ]])+Table1[[#This Row],[Wastage
(R)]]+Table1[[#This Row],[Access
(T)]]</f>
        <v>165.31818181818181</v>
      </c>
      <c r="L45" s="160">
        <f>(L46+L47+L48+L49+L50+L51+L52+L53+L54+L55+L56+L57)/11</f>
        <v>155.31818181818181</v>
      </c>
      <c r="M45" s="161"/>
      <c r="N45" s="160">
        <v>5</v>
      </c>
      <c r="O45" s="162"/>
      <c r="P45" s="160">
        <v>5</v>
      </c>
      <c r="Q45" s="173"/>
      <c r="R45" s="173"/>
    </row>
    <row r="46" spans="1:18" ht="15.6" x14ac:dyDescent="0.3">
      <c r="A46" s="268" t="s">
        <v>59</v>
      </c>
      <c r="B46" s="19" t="s">
        <v>422</v>
      </c>
      <c r="C46" s="20" t="s">
        <v>9</v>
      </c>
      <c r="D46" s="20">
        <v>80</v>
      </c>
      <c r="E46" s="21">
        <f t="shared" si="14"/>
        <v>173</v>
      </c>
      <c r="F46" s="22">
        <f t="shared" si="12"/>
        <v>13840</v>
      </c>
      <c r="G46" s="172" t="s">
        <v>552</v>
      </c>
      <c r="H46" s="157">
        <f t="shared" si="15"/>
        <v>173</v>
      </c>
      <c r="I46" s="172" t="s">
        <v>997</v>
      </c>
      <c r="J46" s="159"/>
      <c r="K46" s="160">
        <f t="shared" ref="K46:K57" si="16">M46+N46+O46+P46</f>
        <v>173</v>
      </c>
      <c r="L46" s="160">
        <f>'بريك داون كهرباء'!Q33</f>
        <v>153.5</v>
      </c>
      <c r="M46" s="161">
        <v>125</v>
      </c>
      <c r="N46" s="160">
        <v>5</v>
      </c>
      <c r="O46" s="162">
        <v>40</v>
      </c>
      <c r="P46" s="160">
        <v>3</v>
      </c>
      <c r="Q46" s="173"/>
      <c r="R46" s="173"/>
    </row>
    <row r="47" spans="1:18" ht="15.6" x14ac:dyDescent="0.3">
      <c r="A47" s="268" t="s">
        <v>60</v>
      </c>
      <c r="B47" s="19" t="s">
        <v>423</v>
      </c>
      <c r="C47" s="20" t="s">
        <v>9</v>
      </c>
      <c r="D47" s="20">
        <v>20</v>
      </c>
      <c r="E47" s="21">
        <f t="shared" si="14"/>
        <v>197</v>
      </c>
      <c r="F47" s="22">
        <f t="shared" si="12"/>
        <v>3940</v>
      </c>
      <c r="G47" s="172" t="s">
        <v>552</v>
      </c>
      <c r="H47" s="157">
        <f t="shared" si="15"/>
        <v>196.55</v>
      </c>
      <c r="I47" s="172" t="s">
        <v>997</v>
      </c>
      <c r="J47" s="159"/>
      <c r="K47" s="160">
        <f t="shared" si="16"/>
        <v>196.55</v>
      </c>
      <c r="L47" s="160">
        <f>'بريك داون كهرباء'!Q34</f>
        <v>153.5</v>
      </c>
      <c r="M47" s="161">
        <v>140</v>
      </c>
      <c r="N47" s="160">
        <v>13.55</v>
      </c>
      <c r="O47" s="162">
        <v>40</v>
      </c>
      <c r="P47" s="160">
        <v>3</v>
      </c>
      <c r="Q47" s="173"/>
      <c r="R47" s="173"/>
    </row>
    <row r="48" spans="1:18" ht="15.6" x14ac:dyDescent="0.3">
      <c r="A48" s="268" t="s">
        <v>61</v>
      </c>
      <c r="B48" s="19" t="s">
        <v>424</v>
      </c>
      <c r="C48" s="20" t="s">
        <v>9</v>
      </c>
      <c r="D48" s="20">
        <v>20</v>
      </c>
      <c r="E48" s="21">
        <f t="shared" si="14"/>
        <v>156</v>
      </c>
      <c r="F48" s="22">
        <f t="shared" si="12"/>
        <v>3120</v>
      </c>
      <c r="G48" s="172" t="s">
        <v>552</v>
      </c>
      <c r="H48" s="157">
        <f t="shared" si="15"/>
        <v>155.75</v>
      </c>
      <c r="I48" s="172" t="s">
        <v>997</v>
      </c>
      <c r="J48" s="159"/>
      <c r="K48" s="160">
        <f t="shared" si="16"/>
        <v>155.75</v>
      </c>
      <c r="L48" s="160">
        <f>'بريك داون كهرباء'!Q35</f>
        <v>153.5</v>
      </c>
      <c r="M48" s="161">
        <v>82</v>
      </c>
      <c r="N48" s="160">
        <v>10.75</v>
      </c>
      <c r="O48" s="162">
        <v>60</v>
      </c>
      <c r="P48" s="160">
        <v>3</v>
      </c>
      <c r="Q48" s="173"/>
      <c r="R48" s="173"/>
    </row>
    <row r="49" spans="1:18" ht="15.6" x14ac:dyDescent="0.3">
      <c r="A49" s="268" t="s">
        <v>62</v>
      </c>
      <c r="B49" s="19" t="s">
        <v>425</v>
      </c>
      <c r="C49" s="20" t="s">
        <v>9</v>
      </c>
      <c r="D49" s="20">
        <v>20</v>
      </c>
      <c r="E49" s="21">
        <f t="shared" si="14"/>
        <v>175</v>
      </c>
      <c r="F49" s="22">
        <f t="shared" si="12"/>
        <v>3500</v>
      </c>
      <c r="G49" s="172" t="s">
        <v>552</v>
      </c>
      <c r="H49" s="157">
        <f t="shared" si="15"/>
        <v>174.55</v>
      </c>
      <c r="I49" s="172" t="s">
        <v>997</v>
      </c>
      <c r="J49" s="159"/>
      <c r="K49" s="160">
        <f t="shared" si="16"/>
        <v>174.55</v>
      </c>
      <c r="L49" s="160">
        <f>'بريك داون كهرباء'!Q36</f>
        <v>153.5</v>
      </c>
      <c r="M49" s="161">
        <v>100</v>
      </c>
      <c r="N49" s="160">
        <v>11.55</v>
      </c>
      <c r="O49" s="162">
        <v>60</v>
      </c>
      <c r="P49" s="160">
        <v>3</v>
      </c>
      <c r="Q49" s="173"/>
      <c r="R49" s="173"/>
    </row>
    <row r="50" spans="1:18" ht="15.6" x14ac:dyDescent="0.3">
      <c r="A50" s="268" t="s">
        <v>63</v>
      </c>
      <c r="B50" s="19" t="s">
        <v>426</v>
      </c>
      <c r="C50" s="20" t="s">
        <v>9</v>
      </c>
      <c r="D50" s="20">
        <v>20</v>
      </c>
      <c r="E50" s="21">
        <f t="shared" si="14"/>
        <v>203</v>
      </c>
      <c r="F50" s="22">
        <f t="shared" si="12"/>
        <v>4060</v>
      </c>
      <c r="G50" s="172" t="s">
        <v>552</v>
      </c>
      <c r="H50" s="157">
        <f t="shared" si="15"/>
        <v>202.75</v>
      </c>
      <c r="I50" s="172" t="s">
        <v>997</v>
      </c>
      <c r="J50" s="159"/>
      <c r="K50" s="160">
        <f t="shared" si="16"/>
        <v>202.75</v>
      </c>
      <c r="L50" s="160">
        <f>'بريك داون كهرباء'!Q37</f>
        <v>153.5</v>
      </c>
      <c r="M50" s="161">
        <v>129</v>
      </c>
      <c r="N50" s="160">
        <v>10.75</v>
      </c>
      <c r="O50" s="162">
        <v>60</v>
      </c>
      <c r="P50" s="160">
        <v>3</v>
      </c>
      <c r="Q50" s="173"/>
      <c r="R50" s="173"/>
    </row>
    <row r="51" spans="1:18" ht="15.6" x14ac:dyDescent="0.3">
      <c r="A51" s="268" t="s">
        <v>64</v>
      </c>
      <c r="B51" s="19" t="s">
        <v>427</v>
      </c>
      <c r="C51" s="20" t="s">
        <v>9</v>
      </c>
      <c r="D51" s="20">
        <v>140</v>
      </c>
      <c r="E51" s="21">
        <f t="shared" si="14"/>
        <v>299</v>
      </c>
      <c r="F51" s="22">
        <f t="shared" si="12"/>
        <v>41860</v>
      </c>
      <c r="G51" s="172" t="s">
        <v>552</v>
      </c>
      <c r="H51" s="157">
        <f t="shared" si="15"/>
        <v>298.05</v>
      </c>
      <c r="I51" s="172" t="s">
        <v>997</v>
      </c>
      <c r="J51" s="159"/>
      <c r="K51" s="160">
        <f t="shared" si="16"/>
        <v>298.05</v>
      </c>
      <c r="L51" s="160">
        <f>'بريك داون كهرباء'!Q38</f>
        <v>153.5</v>
      </c>
      <c r="M51" s="161">
        <v>200</v>
      </c>
      <c r="N51" s="160">
        <v>35.049999999999997</v>
      </c>
      <c r="O51" s="162">
        <v>60</v>
      </c>
      <c r="P51" s="160">
        <v>3</v>
      </c>
      <c r="Q51" s="173"/>
      <c r="R51" s="173"/>
    </row>
    <row r="52" spans="1:18" ht="15.6" x14ac:dyDescent="0.3">
      <c r="A52" s="268" t="s">
        <v>65</v>
      </c>
      <c r="B52" s="19" t="s">
        <v>428</v>
      </c>
      <c r="C52" s="20" t="s">
        <v>9</v>
      </c>
      <c r="D52" s="20">
        <v>30</v>
      </c>
      <c r="E52" s="21">
        <f t="shared" si="14"/>
        <v>428</v>
      </c>
      <c r="F52" s="22">
        <f t="shared" si="12"/>
        <v>12840</v>
      </c>
      <c r="G52" s="172" t="s">
        <v>552</v>
      </c>
      <c r="H52" s="157">
        <f t="shared" si="15"/>
        <v>427.25</v>
      </c>
      <c r="I52" s="172" t="s">
        <v>997</v>
      </c>
      <c r="J52" s="159"/>
      <c r="K52" s="160">
        <f t="shared" si="16"/>
        <v>427.25</v>
      </c>
      <c r="L52" s="160">
        <f>'بريك داون كهرباء'!Q39</f>
        <v>153.5</v>
      </c>
      <c r="M52" s="161">
        <v>335</v>
      </c>
      <c r="N52" s="160">
        <v>29.25</v>
      </c>
      <c r="O52" s="162">
        <v>60</v>
      </c>
      <c r="P52" s="160">
        <v>3</v>
      </c>
      <c r="Q52" s="173"/>
      <c r="R52" s="173"/>
    </row>
    <row r="53" spans="1:18" ht="15.6" x14ac:dyDescent="0.3">
      <c r="A53" s="268" t="s">
        <v>66</v>
      </c>
      <c r="B53" s="19" t="s">
        <v>429</v>
      </c>
      <c r="C53" s="20" t="s">
        <v>9</v>
      </c>
      <c r="D53" s="20">
        <v>6</v>
      </c>
      <c r="E53" s="21">
        <f t="shared" si="14"/>
        <v>690</v>
      </c>
      <c r="F53" s="22">
        <f t="shared" si="12"/>
        <v>4140</v>
      </c>
      <c r="G53" s="172" t="s">
        <v>553</v>
      </c>
      <c r="H53" s="157">
        <f t="shared" si="15"/>
        <v>689.75</v>
      </c>
      <c r="I53" s="172" t="s">
        <v>997</v>
      </c>
      <c r="J53" s="159"/>
      <c r="K53" s="160">
        <f t="shared" si="16"/>
        <v>689.75</v>
      </c>
      <c r="L53" s="160">
        <f>'بريك داون كهرباء'!Q40</f>
        <v>153.5</v>
      </c>
      <c r="M53" s="161">
        <v>575</v>
      </c>
      <c r="N53" s="160">
        <v>71.75</v>
      </c>
      <c r="O53" s="162">
        <v>40</v>
      </c>
      <c r="P53" s="160">
        <v>3</v>
      </c>
      <c r="Q53" s="173"/>
      <c r="R53" s="173"/>
    </row>
    <row r="54" spans="1:18" ht="15.6" x14ac:dyDescent="0.3">
      <c r="A54" s="268" t="s">
        <v>67</v>
      </c>
      <c r="B54" s="19" t="s">
        <v>430</v>
      </c>
      <c r="C54" s="20" t="s">
        <v>68</v>
      </c>
      <c r="D54" s="20">
        <v>111</v>
      </c>
      <c r="E54" s="21">
        <f t="shared" si="14"/>
        <v>63</v>
      </c>
      <c r="F54" s="22">
        <f t="shared" si="12"/>
        <v>6993</v>
      </c>
      <c r="G54" s="172" t="s">
        <v>552</v>
      </c>
      <c r="H54" s="157">
        <f t="shared" si="15"/>
        <v>62.25</v>
      </c>
      <c r="I54" s="172" t="s">
        <v>997</v>
      </c>
      <c r="J54" s="159"/>
      <c r="K54" s="160">
        <f t="shared" si="16"/>
        <v>62.25</v>
      </c>
      <c r="L54" s="160"/>
      <c r="M54" s="161">
        <v>52</v>
      </c>
      <c r="N54" s="160">
        <v>4.25</v>
      </c>
      <c r="O54" s="162">
        <v>5</v>
      </c>
      <c r="P54" s="160">
        <v>1</v>
      </c>
      <c r="Q54" s="173"/>
      <c r="R54" s="173"/>
    </row>
    <row r="55" spans="1:18" ht="15.6" x14ac:dyDescent="0.3">
      <c r="A55" s="268" t="s">
        <v>69</v>
      </c>
      <c r="B55" s="19" t="s">
        <v>431</v>
      </c>
      <c r="C55" s="20" t="s">
        <v>9</v>
      </c>
      <c r="D55" s="20">
        <v>12</v>
      </c>
      <c r="E55" s="21">
        <f t="shared" si="14"/>
        <v>316</v>
      </c>
      <c r="F55" s="22">
        <f t="shared" si="12"/>
        <v>3792</v>
      </c>
      <c r="G55" s="172" t="s">
        <v>552</v>
      </c>
      <c r="H55" s="157">
        <f t="shared" si="15"/>
        <v>316</v>
      </c>
      <c r="I55" s="172" t="s">
        <v>997</v>
      </c>
      <c r="J55" s="159"/>
      <c r="K55" s="160">
        <f t="shared" si="16"/>
        <v>316</v>
      </c>
      <c r="L55" s="160">
        <f>'بريك داون كهرباء'!Q43</f>
        <v>163.5</v>
      </c>
      <c r="M55" s="161">
        <v>300</v>
      </c>
      <c r="N55" s="160">
        <v>9</v>
      </c>
      <c r="O55" s="162">
        <v>5</v>
      </c>
      <c r="P55" s="160">
        <v>2</v>
      </c>
      <c r="Q55" s="173"/>
      <c r="R55" s="173"/>
    </row>
    <row r="56" spans="1:18" ht="22.8" x14ac:dyDescent="0.3">
      <c r="A56" s="268" t="s">
        <v>70</v>
      </c>
      <c r="B56" s="19" t="s">
        <v>432</v>
      </c>
      <c r="C56" s="20" t="s">
        <v>9</v>
      </c>
      <c r="D56" s="20">
        <v>4</v>
      </c>
      <c r="E56" s="21">
        <f t="shared" si="14"/>
        <v>663</v>
      </c>
      <c r="F56" s="22">
        <f t="shared" si="12"/>
        <v>2652</v>
      </c>
      <c r="G56" s="172" t="s">
        <v>552</v>
      </c>
      <c r="H56" s="157">
        <f t="shared" si="15"/>
        <v>662.75</v>
      </c>
      <c r="I56" s="172" t="s">
        <v>997</v>
      </c>
      <c r="J56" s="159"/>
      <c r="K56" s="160">
        <f t="shared" si="16"/>
        <v>662.75</v>
      </c>
      <c r="L56" s="160">
        <f>'بريك داون كهرباء'!Q43</f>
        <v>163.5</v>
      </c>
      <c r="M56" s="161">
        <v>587</v>
      </c>
      <c r="N56" s="160">
        <v>20.75</v>
      </c>
      <c r="O56" s="162">
        <v>50</v>
      </c>
      <c r="P56" s="160">
        <v>5</v>
      </c>
      <c r="Q56" s="241" t="s">
        <v>965</v>
      </c>
      <c r="R56" s="173"/>
    </row>
    <row r="57" spans="1:18" ht="15.6" x14ac:dyDescent="0.3">
      <c r="A57" s="268" t="s">
        <v>71</v>
      </c>
      <c r="B57" s="19" t="s">
        <v>433</v>
      </c>
      <c r="C57" s="20" t="s">
        <v>9</v>
      </c>
      <c r="D57" s="20">
        <v>12</v>
      </c>
      <c r="E57" s="21">
        <f t="shared" si="14"/>
        <v>250</v>
      </c>
      <c r="F57" s="22">
        <f t="shared" si="12"/>
        <v>3000</v>
      </c>
      <c r="G57" s="172" t="s">
        <v>552</v>
      </c>
      <c r="H57" s="157">
        <f t="shared" si="15"/>
        <v>249.55</v>
      </c>
      <c r="I57" s="172" t="s">
        <v>997</v>
      </c>
      <c r="J57" s="159"/>
      <c r="K57" s="160">
        <f t="shared" si="16"/>
        <v>249.55</v>
      </c>
      <c r="L57" s="160">
        <f>'بريك داون كهرباء'!Q44</f>
        <v>153.5</v>
      </c>
      <c r="M57" s="161">
        <v>200</v>
      </c>
      <c r="N57" s="160">
        <v>16.55</v>
      </c>
      <c r="O57" s="162">
        <v>30</v>
      </c>
      <c r="P57" s="160">
        <v>3</v>
      </c>
      <c r="Q57" s="173"/>
      <c r="R57" s="173"/>
    </row>
    <row r="58" spans="1:18" ht="15.6" x14ac:dyDescent="0.3">
      <c r="A58" s="268"/>
      <c r="B58" s="19"/>
      <c r="C58" s="20"/>
      <c r="D58" s="20"/>
      <c r="E58" s="18"/>
      <c r="F58" s="22"/>
      <c r="G58" s="177"/>
      <c r="H58" s="178"/>
      <c r="I58" s="178"/>
      <c r="J58" s="178"/>
      <c r="K58" s="178"/>
      <c r="L58" s="178"/>
      <c r="M58" s="178"/>
      <c r="N58" s="178"/>
      <c r="O58" s="178"/>
      <c r="P58" s="178"/>
      <c r="Q58" s="178"/>
      <c r="R58" s="178"/>
    </row>
    <row r="59" spans="1:18" ht="15.6" x14ac:dyDescent="0.3">
      <c r="A59" s="266">
        <v>16.12</v>
      </c>
      <c r="B59" s="26" t="s">
        <v>72</v>
      </c>
      <c r="C59" s="20"/>
      <c r="D59" s="20"/>
      <c r="E59" s="18"/>
      <c r="F59" s="22"/>
      <c r="G59" s="177"/>
      <c r="H59" s="178"/>
      <c r="I59" s="178"/>
      <c r="J59" s="178"/>
      <c r="K59" s="178"/>
      <c r="L59" s="178"/>
      <c r="M59" s="178"/>
      <c r="N59" s="178"/>
      <c r="O59" s="178"/>
      <c r="P59" s="178"/>
      <c r="Q59" s="178"/>
      <c r="R59" s="178"/>
    </row>
    <row r="60" spans="1:18" ht="78" x14ac:dyDescent="0.3">
      <c r="A60" s="268" t="s">
        <v>73</v>
      </c>
      <c r="B60" s="27" t="s">
        <v>434</v>
      </c>
      <c r="C60" s="20" t="s">
        <v>74</v>
      </c>
      <c r="D60" s="20">
        <v>1</v>
      </c>
      <c r="E60" s="21">
        <f>ROUNDUP(H60*$J$2,0)</f>
        <v>55500</v>
      </c>
      <c r="F60" s="23">
        <f t="shared" si="12"/>
        <v>55500</v>
      </c>
      <c r="G60" s="172" t="s">
        <v>539</v>
      </c>
      <c r="H60" s="157">
        <f t="shared" ref="H60" si="17">K60</f>
        <v>55500</v>
      </c>
      <c r="I60" s="172" t="s">
        <v>540</v>
      </c>
      <c r="J60" s="159"/>
      <c r="K60" s="160">
        <f>L60+M60+N60+O60+P60</f>
        <v>55500</v>
      </c>
      <c r="L60" s="160">
        <v>0</v>
      </c>
      <c r="M60" s="161">
        <v>50000</v>
      </c>
      <c r="N60" s="160">
        <v>500</v>
      </c>
      <c r="O60" s="162">
        <v>4000</v>
      </c>
      <c r="P60" s="160">
        <v>1000</v>
      </c>
      <c r="Q60" s="237" t="s">
        <v>960</v>
      </c>
      <c r="R60" s="173" t="s">
        <v>554</v>
      </c>
    </row>
    <row r="61" spans="1:18" ht="15.6" x14ac:dyDescent="0.3">
      <c r="A61" s="265"/>
      <c r="B61" s="19"/>
      <c r="C61" s="20"/>
      <c r="D61" s="20"/>
      <c r="E61" s="18"/>
      <c r="F61" s="22"/>
      <c r="G61" s="177"/>
      <c r="H61" s="178"/>
      <c r="I61" s="178"/>
      <c r="J61" s="178"/>
      <c r="K61" s="178"/>
      <c r="L61" s="178"/>
      <c r="M61" s="178"/>
      <c r="N61" s="178"/>
      <c r="O61" s="178"/>
      <c r="P61" s="178"/>
      <c r="Q61" s="178"/>
      <c r="R61" s="178"/>
    </row>
    <row r="62" spans="1:18" ht="15.6" x14ac:dyDescent="0.3">
      <c r="A62" s="266">
        <v>16.149999999999999</v>
      </c>
      <c r="B62" s="31" t="s">
        <v>75</v>
      </c>
      <c r="C62" s="24"/>
      <c r="D62" s="24"/>
      <c r="E62" s="18"/>
      <c r="F62" s="22"/>
      <c r="G62" s="195"/>
      <c r="H62" s="196"/>
      <c r="I62" s="196"/>
      <c r="J62" s="196"/>
      <c r="K62" s="196"/>
      <c r="L62" s="196"/>
      <c r="M62" s="195" t="s">
        <v>555</v>
      </c>
      <c r="N62" s="196"/>
      <c r="O62" s="196"/>
      <c r="P62" s="196"/>
      <c r="Q62" s="196"/>
      <c r="R62" s="196"/>
    </row>
    <row r="63" spans="1:18" ht="46.8" x14ac:dyDescent="0.3">
      <c r="A63" s="266"/>
      <c r="B63" s="27" t="s">
        <v>76</v>
      </c>
      <c r="C63" s="24"/>
      <c r="D63" s="24"/>
      <c r="E63" s="18"/>
      <c r="F63" s="22"/>
      <c r="G63" s="177"/>
      <c r="H63" s="178"/>
      <c r="I63" s="178"/>
      <c r="J63" s="178"/>
      <c r="K63" s="178"/>
      <c r="L63" s="178"/>
      <c r="M63" s="178"/>
      <c r="N63" s="178"/>
      <c r="O63" s="178"/>
      <c r="P63" s="178"/>
      <c r="Q63" s="236" t="s">
        <v>966</v>
      </c>
      <c r="R63" s="178"/>
    </row>
    <row r="64" spans="1:18" ht="15.6" x14ac:dyDescent="0.3">
      <c r="A64" s="268"/>
      <c r="B64" s="32" t="s">
        <v>77</v>
      </c>
      <c r="C64" s="24"/>
      <c r="D64" s="24"/>
      <c r="E64" s="18"/>
      <c r="F64" s="22"/>
      <c r="G64" s="177"/>
      <c r="H64" s="178"/>
      <c r="I64" s="178"/>
      <c r="J64" s="178"/>
      <c r="K64" s="178"/>
      <c r="L64" s="178"/>
      <c r="M64" s="178"/>
      <c r="N64" s="178"/>
      <c r="O64" s="178"/>
      <c r="P64" s="178"/>
      <c r="Q64" s="178"/>
      <c r="R64" s="178"/>
    </row>
    <row r="65" spans="1:18" ht="15.6" x14ac:dyDescent="0.3">
      <c r="A65" s="268" t="s">
        <v>78</v>
      </c>
      <c r="B65" s="19" t="s">
        <v>435</v>
      </c>
      <c r="C65" s="24" t="s">
        <v>7</v>
      </c>
      <c r="D65" s="24">
        <v>250</v>
      </c>
      <c r="E65" s="21">
        <f>ROUNDUP(H65*$J$2,0)</f>
        <v>171</v>
      </c>
      <c r="F65" s="22">
        <f t="shared" si="12"/>
        <v>42750</v>
      </c>
      <c r="G65" s="172" t="s">
        <v>556</v>
      </c>
      <c r="H65" s="157">
        <f t="shared" ref="H65" si="18">K65</f>
        <v>171</v>
      </c>
      <c r="I65" s="172"/>
      <c r="J65" s="159"/>
      <c r="K65" s="160">
        <f>L65+M65+N65+O65+P65</f>
        <v>171</v>
      </c>
      <c r="L65" s="160">
        <v>0</v>
      </c>
      <c r="M65" s="161">
        <v>117</v>
      </c>
      <c r="N65" s="160">
        <v>8</v>
      </c>
      <c r="O65" s="162">
        <v>40</v>
      </c>
      <c r="P65" s="160">
        <v>6</v>
      </c>
      <c r="Q65" s="173"/>
      <c r="R65" s="173"/>
    </row>
    <row r="66" spans="1:18" ht="15.6" x14ac:dyDescent="0.3">
      <c r="A66" s="268"/>
      <c r="B66" s="33"/>
      <c r="C66" s="24"/>
      <c r="D66" s="24"/>
      <c r="E66" s="223"/>
      <c r="F66" s="22"/>
      <c r="G66" s="177"/>
      <c r="H66" s="178"/>
      <c r="I66" s="178"/>
      <c r="J66" s="178"/>
      <c r="K66" s="178"/>
      <c r="L66" s="178"/>
      <c r="M66" s="178"/>
      <c r="N66" s="178"/>
      <c r="O66" s="178"/>
      <c r="P66" s="178"/>
      <c r="Q66" s="178"/>
      <c r="R66" s="178"/>
    </row>
    <row r="67" spans="1:18" ht="15.6" x14ac:dyDescent="0.3">
      <c r="A67" s="268"/>
      <c r="B67" s="34" t="s">
        <v>79</v>
      </c>
      <c r="C67" s="24"/>
      <c r="D67" s="24"/>
      <c r="E67" s="223"/>
      <c r="F67" s="22"/>
      <c r="G67" s="177"/>
      <c r="H67" s="178"/>
      <c r="I67" s="178"/>
      <c r="J67" s="178"/>
      <c r="K67" s="178"/>
      <c r="L67" s="178"/>
      <c r="M67" s="178"/>
      <c r="N67" s="178"/>
      <c r="O67" s="178"/>
      <c r="P67" s="178"/>
      <c r="Q67" s="178"/>
      <c r="R67" s="178"/>
    </row>
    <row r="68" spans="1:18" ht="15.6" x14ac:dyDescent="0.3">
      <c r="A68" s="268" t="s">
        <v>80</v>
      </c>
      <c r="B68" s="19" t="s">
        <v>436</v>
      </c>
      <c r="C68" s="24" t="s">
        <v>7</v>
      </c>
      <c r="D68" s="24">
        <v>150</v>
      </c>
      <c r="E68" s="21">
        <f t="shared" ref="E68:E69" si="19">ROUNDUP(H68*$J$2,0)</f>
        <v>114</v>
      </c>
      <c r="F68" s="22">
        <f t="shared" ref="F68:F86" si="20">D68*E68</f>
        <v>17100</v>
      </c>
      <c r="G68" s="172" t="s">
        <v>556</v>
      </c>
      <c r="H68" s="157">
        <f t="shared" ref="H68:H69" si="21">K68</f>
        <v>114</v>
      </c>
      <c r="I68" s="172"/>
      <c r="J68" s="159"/>
      <c r="K68" s="160">
        <f>L68+M68+N68+O68+P68</f>
        <v>114</v>
      </c>
      <c r="L68" s="160">
        <v>0</v>
      </c>
      <c r="M68" s="161">
        <v>60</v>
      </c>
      <c r="N68" s="160">
        <v>8</v>
      </c>
      <c r="O68" s="162">
        <v>40</v>
      </c>
      <c r="P68" s="160">
        <v>6</v>
      </c>
      <c r="Q68" s="173"/>
      <c r="R68" s="173"/>
    </row>
    <row r="69" spans="1:18" ht="15.6" x14ac:dyDescent="0.3">
      <c r="A69" s="268" t="s">
        <v>81</v>
      </c>
      <c r="B69" s="19" t="s">
        <v>437</v>
      </c>
      <c r="C69" s="24" t="s">
        <v>7</v>
      </c>
      <c r="D69" s="24">
        <v>100</v>
      </c>
      <c r="E69" s="21">
        <f t="shared" si="19"/>
        <v>129</v>
      </c>
      <c r="F69" s="22">
        <f t="shared" si="20"/>
        <v>12900</v>
      </c>
      <c r="G69" s="172" t="s">
        <v>556</v>
      </c>
      <c r="H69" s="157">
        <f t="shared" si="21"/>
        <v>129</v>
      </c>
      <c r="I69" s="172"/>
      <c r="J69" s="159"/>
      <c r="K69" s="160">
        <f>L69+M69+N69+O69+P69</f>
        <v>129</v>
      </c>
      <c r="L69" s="160">
        <v>0</v>
      </c>
      <c r="M69" s="161">
        <v>75</v>
      </c>
      <c r="N69" s="160">
        <v>8</v>
      </c>
      <c r="O69" s="162">
        <v>40</v>
      </c>
      <c r="P69" s="160">
        <v>6</v>
      </c>
      <c r="Q69" s="173"/>
      <c r="R69" s="173"/>
    </row>
    <row r="70" spans="1:18" ht="15.6" x14ac:dyDescent="0.3">
      <c r="A70" s="268"/>
      <c r="B70" s="19"/>
      <c r="C70" s="24"/>
      <c r="D70" s="24"/>
      <c r="E70" s="223"/>
      <c r="F70" s="22"/>
      <c r="G70" s="177"/>
      <c r="H70" s="178"/>
      <c r="I70" s="178"/>
      <c r="J70" s="178"/>
      <c r="K70" s="178"/>
      <c r="L70" s="178"/>
      <c r="M70" s="178"/>
      <c r="N70" s="178"/>
      <c r="O70" s="178"/>
      <c r="P70" s="178"/>
      <c r="Q70" s="178"/>
      <c r="R70" s="178"/>
    </row>
    <row r="71" spans="1:18" ht="15.6" x14ac:dyDescent="0.3">
      <c r="A71" s="268"/>
      <c r="B71" s="34" t="s">
        <v>82</v>
      </c>
      <c r="C71" s="24"/>
      <c r="D71" s="24"/>
      <c r="E71" s="35"/>
      <c r="F71" s="22"/>
      <c r="G71" s="177"/>
      <c r="H71" s="178"/>
      <c r="I71" s="178"/>
      <c r="J71" s="178"/>
      <c r="K71" s="178"/>
      <c r="L71" s="178"/>
      <c r="M71" s="178"/>
      <c r="N71" s="178"/>
      <c r="O71" s="178"/>
      <c r="P71" s="178"/>
      <c r="Q71" s="178"/>
      <c r="R71" s="178"/>
    </row>
    <row r="72" spans="1:18" ht="15.6" x14ac:dyDescent="0.3">
      <c r="A72" s="268" t="s">
        <v>83</v>
      </c>
      <c r="B72" s="19" t="s">
        <v>438</v>
      </c>
      <c r="C72" s="24" t="s">
        <v>7</v>
      </c>
      <c r="D72" s="24">
        <v>150</v>
      </c>
      <c r="E72" s="21">
        <f>ROUNDUP(H72*$J$2,0)</f>
        <v>99</v>
      </c>
      <c r="F72" s="22">
        <f t="shared" si="20"/>
        <v>14850</v>
      </c>
      <c r="G72" s="172" t="s">
        <v>556</v>
      </c>
      <c r="H72" s="157">
        <f t="shared" ref="H72" si="22">K72</f>
        <v>99</v>
      </c>
      <c r="I72" s="172"/>
      <c r="J72" s="159"/>
      <c r="K72" s="160">
        <f>L72+M72+N72+O72+P72</f>
        <v>99</v>
      </c>
      <c r="L72" s="160">
        <v>0</v>
      </c>
      <c r="M72" s="161">
        <v>45</v>
      </c>
      <c r="N72" s="160">
        <v>8</v>
      </c>
      <c r="O72" s="162">
        <v>40</v>
      </c>
      <c r="P72" s="160">
        <v>6</v>
      </c>
      <c r="Q72" s="173"/>
      <c r="R72" s="173"/>
    </row>
    <row r="73" spans="1:18" ht="15.6" x14ac:dyDescent="0.3">
      <c r="A73" s="266">
        <v>16.16</v>
      </c>
      <c r="B73" s="29" t="s">
        <v>84</v>
      </c>
      <c r="C73" s="20"/>
      <c r="D73" s="20"/>
      <c r="E73" s="15"/>
      <c r="F73" s="22"/>
      <c r="G73" s="195"/>
      <c r="H73" s="196"/>
      <c r="I73" s="196"/>
      <c r="J73" s="196"/>
      <c r="K73" s="196"/>
      <c r="L73" s="196"/>
      <c r="M73" s="195" t="s">
        <v>557</v>
      </c>
      <c r="N73" s="196"/>
      <c r="O73" s="196"/>
      <c r="P73" s="196"/>
      <c r="Q73" s="196"/>
      <c r="R73" s="196"/>
    </row>
    <row r="74" spans="1:18" ht="69" x14ac:dyDescent="0.3">
      <c r="A74" s="268"/>
      <c r="B74" s="27" t="s">
        <v>85</v>
      </c>
      <c r="C74" s="20"/>
      <c r="D74" s="20"/>
      <c r="E74" s="36"/>
      <c r="F74" s="37"/>
      <c r="G74" s="177"/>
      <c r="H74" s="178"/>
      <c r="I74" s="178"/>
      <c r="J74" s="178"/>
      <c r="K74" s="178"/>
      <c r="L74" s="178"/>
      <c r="M74" s="178"/>
      <c r="N74" s="178"/>
      <c r="O74" s="178"/>
      <c r="P74" s="178"/>
      <c r="Q74" s="236" t="s">
        <v>967</v>
      </c>
      <c r="R74" s="178"/>
    </row>
    <row r="75" spans="1:18" ht="15.6" x14ac:dyDescent="0.3">
      <c r="A75" s="268" t="s">
        <v>86</v>
      </c>
      <c r="B75" s="27" t="s">
        <v>342</v>
      </c>
      <c r="C75" s="20" t="s">
        <v>2</v>
      </c>
      <c r="D75" s="20">
        <v>1090</v>
      </c>
      <c r="E75" s="21">
        <f t="shared" ref="E75:E86" si="23">ROUNDUP(H75*$J$2,0)</f>
        <v>25</v>
      </c>
      <c r="F75" s="22">
        <f t="shared" si="20"/>
        <v>27250</v>
      </c>
      <c r="G75" s="172" t="s">
        <v>569</v>
      </c>
      <c r="H75" s="157">
        <f t="shared" ref="H75:H86" si="24">K75</f>
        <v>25</v>
      </c>
      <c r="I75" s="172" t="s">
        <v>548</v>
      </c>
      <c r="J75" s="159"/>
      <c r="K75" s="160">
        <f t="shared" ref="K75:K86" si="25">L75+M75+N75+O75+P75</f>
        <v>25</v>
      </c>
      <c r="L75" s="160"/>
      <c r="M75" s="161">
        <v>20</v>
      </c>
      <c r="N75" s="160">
        <v>2</v>
      </c>
      <c r="O75" s="162"/>
      <c r="P75" s="160">
        <v>3</v>
      </c>
      <c r="Q75" s="173"/>
      <c r="R75" s="173" t="s">
        <v>558</v>
      </c>
    </row>
    <row r="76" spans="1:18" ht="15.6" x14ac:dyDescent="0.3">
      <c r="A76" s="268" t="s">
        <v>87</v>
      </c>
      <c r="B76" s="27" t="s">
        <v>343</v>
      </c>
      <c r="C76" s="20" t="s">
        <v>2</v>
      </c>
      <c r="D76" s="20">
        <v>1090</v>
      </c>
      <c r="E76" s="21">
        <f t="shared" si="23"/>
        <v>10</v>
      </c>
      <c r="F76" s="22">
        <f t="shared" si="20"/>
        <v>10900</v>
      </c>
      <c r="G76" s="172" t="s">
        <v>569</v>
      </c>
      <c r="H76" s="157">
        <f t="shared" si="24"/>
        <v>10</v>
      </c>
      <c r="I76" s="172" t="s">
        <v>559</v>
      </c>
      <c r="J76" s="159"/>
      <c r="K76" s="160">
        <f t="shared" si="25"/>
        <v>10</v>
      </c>
      <c r="L76" s="160"/>
      <c r="M76" s="161">
        <v>9</v>
      </c>
      <c r="N76" s="160">
        <v>0.5</v>
      </c>
      <c r="O76" s="162"/>
      <c r="P76" s="160">
        <v>0.5</v>
      </c>
      <c r="Q76" s="173"/>
      <c r="R76" s="173" t="s">
        <v>560</v>
      </c>
    </row>
    <row r="77" spans="1:18" ht="15.6" x14ac:dyDescent="0.3">
      <c r="A77" s="268" t="s">
        <v>88</v>
      </c>
      <c r="B77" s="27" t="s">
        <v>89</v>
      </c>
      <c r="C77" s="20" t="s">
        <v>9</v>
      </c>
      <c r="D77" s="20">
        <v>70</v>
      </c>
      <c r="E77" s="21">
        <f t="shared" si="23"/>
        <v>350</v>
      </c>
      <c r="F77" s="21">
        <f t="shared" si="20"/>
        <v>24500</v>
      </c>
      <c r="G77" s="172" t="s">
        <v>569</v>
      </c>
      <c r="H77" s="157">
        <f t="shared" si="24"/>
        <v>350</v>
      </c>
      <c r="I77" s="172" t="s">
        <v>561</v>
      </c>
      <c r="J77" s="159"/>
      <c r="K77" s="160">
        <v>350</v>
      </c>
      <c r="L77" s="160">
        <f>'بريك داون كهرباء'!Q57</f>
        <v>191.60000000000002</v>
      </c>
      <c r="M77" s="161">
        <v>350</v>
      </c>
      <c r="N77" s="160">
        <v>5</v>
      </c>
      <c r="O77" s="162"/>
      <c r="P77" s="160">
        <v>5</v>
      </c>
      <c r="Q77" s="173"/>
      <c r="R77" s="173" t="s">
        <v>562</v>
      </c>
    </row>
    <row r="78" spans="1:18" ht="15.6" x14ac:dyDescent="0.3">
      <c r="A78" s="268" t="s">
        <v>90</v>
      </c>
      <c r="B78" s="27" t="s">
        <v>91</v>
      </c>
      <c r="C78" s="20" t="s">
        <v>9</v>
      </c>
      <c r="D78" s="20">
        <v>4</v>
      </c>
      <c r="E78" s="21">
        <f t="shared" si="23"/>
        <v>390</v>
      </c>
      <c r="F78" s="21">
        <f t="shared" si="20"/>
        <v>1560</v>
      </c>
      <c r="G78" s="172" t="s">
        <v>569</v>
      </c>
      <c r="H78" s="157">
        <f t="shared" si="24"/>
        <v>390</v>
      </c>
      <c r="I78" s="172" t="s">
        <v>561</v>
      </c>
      <c r="J78" s="159"/>
      <c r="K78" s="160">
        <f>M78+N78+O78+P78</f>
        <v>390</v>
      </c>
      <c r="L78" s="160">
        <f>'بريك داون كهرباء'!Q58</f>
        <v>191.60000000000002</v>
      </c>
      <c r="M78" s="161">
        <v>380</v>
      </c>
      <c r="N78" s="160">
        <v>5</v>
      </c>
      <c r="O78" s="162"/>
      <c r="P78" s="160">
        <v>5</v>
      </c>
      <c r="Q78" s="173"/>
      <c r="R78" s="173" t="s">
        <v>563</v>
      </c>
    </row>
    <row r="79" spans="1:18" ht="15.6" x14ac:dyDescent="0.3">
      <c r="A79" s="268" t="s">
        <v>92</v>
      </c>
      <c r="B79" s="19" t="s">
        <v>93</v>
      </c>
      <c r="C79" s="20" t="s">
        <v>9</v>
      </c>
      <c r="D79" s="20">
        <v>5</v>
      </c>
      <c r="E79" s="21">
        <f t="shared" si="23"/>
        <v>400</v>
      </c>
      <c r="F79" s="21">
        <f t="shared" si="20"/>
        <v>2000</v>
      </c>
      <c r="G79" s="172" t="s">
        <v>569</v>
      </c>
      <c r="H79" s="157">
        <f t="shared" si="24"/>
        <v>400</v>
      </c>
      <c r="I79" s="172" t="s">
        <v>561</v>
      </c>
      <c r="J79" s="159"/>
      <c r="K79" s="160">
        <v>400</v>
      </c>
      <c r="L79" s="160">
        <f>'بريك داون كهرباء'!Q59</f>
        <v>191.60000000000002</v>
      </c>
      <c r="M79" s="161">
        <v>400</v>
      </c>
      <c r="N79" s="160">
        <v>5</v>
      </c>
      <c r="O79" s="162"/>
      <c r="P79" s="160">
        <v>5</v>
      </c>
      <c r="Q79" s="173"/>
      <c r="R79" s="173" t="s">
        <v>563</v>
      </c>
    </row>
    <row r="80" spans="1:18" ht="15.6" x14ac:dyDescent="0.3">
      <c r="A80" s="268" t="s">
        <v>94</v>
      </c>
      <c r="B80" s="27" t="s">
        <v>95</v>
      </c>
      <c r="C80" s="20" t="s">
        <v>9</v>
      </c>
      <c r="D80" s="20">
        <v>10</v>
      </c>
      <c r="E80" s="21">
        <f t="shared" si="23"/>
        <v>380</v>
      </c>
      <c r="F80" s="21">
        <f t="shared" si="20"/>
        <v>3800</v>
      </c>
      <c r="G80" s="172" t="s">
        <v>569</v>
      </c>
      <c r="H80" s="157">
        <f t="shared" si="24"/>
        <v>380</v>
      </c>
      <c r="I80" s="172" t="s">
        <v>561</v>
      </c>
      <c r="J80" s="159"/>
      <c r="K80" s="160">
        <v>380</v>
      </c>
      <c r="L80" s="160">
        <f>'بريك داون كهرباء'!Q60</f>
        <v>191.60000000000002</v>
      </c>
      <c r="M80" s="161">
        <v>380</v>
      </c>
      <c r="N80" s="160">
        <v>5</v>
      </c>
      <c r="O80" s="162"/>
      <c r="P80" s="160">
        <v>5</v>
      </c>
      <c r="Q80" s="173"/>
      <c r="R80" s="173" t="s">
        <v>562</v>
      </c>
    </row>
    <row r="81" spans="1:18" ht="15.6" x14ac:dyDescent="0.3">
      <c r="A81" s="268" t="s">
        <v>96</v>
      </c>
      <c r="B81" s="27" t="s">
        <v>97</v>
      </c>
      <c r="C81" s="20" t="s">
        <v>9</v>
      </c>
      <c r="D81" s="20">
        <v>10</v>
      </c>
      <c r="E81" s="21">
        <f t="shared" si="23"/>
        <v>400</v>
      </c>
      <c r="F81" s="21">
        <f t="shared" si="20"/>
        <v>4000</v>
      </c>
      <c r="G81" s="172" t="s">
        <v>569</v>
      </c>
      <c r="H81" s="157">
        <f t="shared" si="24"/>
        <v>400</v>
      </c>
      <c r="I81" s="172" t="s">
        <v>561</v>
      </c>
      <c r="J81" s="159"/>
      <c r="K81" s="160">
        <v>400</v>
      </c>
      <c r="L81" s="160">
        <f>'بريك داون كهرباء'!Q61</f>
        <v>191.60000000000002</v>
      </c>
      <c r="M81" s="161">
        <v>400</v>
      </c>
      <c r="N81" s="160">
        <v>5</v>
      </c>
      <c r="O81" s="162"/>
      <c r="P81" s="160">
        <v>5</v>
      </c>
      <c r="Q81" s="173"/>
      <c r="R81" s="173" t="s">
        <v>563</v>
      </c>
    </row>
    <row r="82" spans="1:18" ht="15.6" x14ac:dyDescent="0.3">
      <c r="A82" s="268" t="s">
        <v>98</v>
      </c>
      <c r="B82" s="27" t="s">
        <v>99</v>
      </c>
      <c r="C82" s="20" t="s">
        <v>9</v>
      </c>
      <c r="D82" s="20">
        <v>8</v>
      </c>
      <c r="E82" s="21">
        <f t="shared" si="23"/>
        <v>350</v>
      </c>
      <c r="F82" s="21">
        <f t="shared" si="20"/>
        <v>2800</v>
      </c>
      <c r="G82" s="172" t="s">
        <v>569</v>
      </c>
      <c r="H82" s="157">
        <f t="shared" si="24"/>
        <v>350</v>
      </c>
      <c r="I82" s="172" t="s">
        <v>561</v>
      </c>
      <c r="J82" s="159"/>
      <c r="K82" s="160">
        <v>350</v>
      </c>
      <c r="L82" s="160">
        <f>'بريك داون كهرباء'!Q62</f>
        <v>191.60000000000002</v>
      </c>
      <c r="M82" s="161">
        <v>350</v>
      </c>
      <c r="N82" s="160">
        <v>5</v>
      </c>
      <c r="O82" s="162"/>
      <c r="P82" s="160">
        <v>5</v>
      </c>
      <c r="Q82" s="173"/>
      <c r="R82" s="173" t="s">
        <v>563</v>
      </c>
    </row>
    <row r="83" spans="1:18" ht="15.6" x14ac:dyDescent="0.3">
      <c r="A83" s="268" t="s">
        <v>100</v>
      </c>
      <c r="B83" s="27" t="s">
        <v>101</v>
      </c>
      <c r="C83" s="20" t="s">
        <v>9</v>
      </c>
      <c r="D83" s="20">
        <v>1</v>
      </c>
      <c r="E83" s="21">
        <f t="shared" si="23"/>
        <v>29340</v>
      </c>
      <c r="F83" s="21">
        <f t="shared" si="20"/>
        <v>29340</v>
      </c>
      <c r="G83" s="172" t="s">
        <v>569</v>
      </c>
      <c r="H83" s="157">
        <f t="shared" si="24"/>
        <v>29339.25</v>
      </c>
      <c r="I83" s="172" t="s">
        <v>561</v>
      </c>
      <c r="J83" s="159"/>
      <c r="K83" s="160">
        <f t="shared" si="25"/>
        <v>29339.25</v>
      </c>
      <c r="L83" s="160">
        <v>327</v>
      </c>
      <c r="M83" s="161">
        <v>28500</v>
      </c>
      <c r="N83" s="160">
        <v>12.25</v>
      </c>
      <c r="O83" s="162"/>
      <c r="P83" s="160">
        <v>500</v>
      </c>
      <c r="Q83" s="173"/>
      <c r="R83" s="173" t="s">
        <v>564</v>
      </c>
    </row>
    <row r="84" spans="1:18" ht="15.6" x14ac:dyDescent="0.3">
      <c r="A84" s="268" t="s">
        <v>102</v>
      </c>
      <c r="B84" s="27" t="s">
        <v>103</v>
      </c>
      <c r="C84" s="20" t="s">
        <v>9</v>
      </c>
      <c r="D84" s="20">
        <v>1</v>
      </c>
      <c r="E84" s="21">
        <f t="shared" si="23"/>
        <v>6402</v>
      </c>
      <c r="F84" s="21">
        <f t="shared" si="20"/>
        <v>6402</v>
      </c>
      <c r="G84" s="172" t="s">
        <v>569</v>
      </c>
      <c r="H84" s="157">
        <f t="shared" si="24"/>
        <v>6402</v>
      </c>
      <c r="I84" s="172" t="s">
        <v>561</v>
      </c>
      <c r="J84" s="159"/>
      <c r="K84" s="160">
        <f t="shared" si="25"/>
        <v>6402</v>
      </c>
      <c r="L84" s="160">
        <v>327</v>
      </c>
      <c r="M84" s="161">
        <v>5525</v>
      </c>
      <c r="N84" s="160">
        <v>50</v>
      </c>
      <c r="O84" s="162"/>
      <c r="P84" s="160">
        <v>500</v>
      </c>
      <c r="Q84" s="173"/>
      <c r="R84" s="173" t="s">
        <v>561</v>
      </c>
    </row>
    <row r="85" spans="1:18" ht="15.6" x14ac:dyDescent="0.3">
      <c r="A85" s="268" t="s">
        <v>104</v>
      </c>
      <c r="B85" s="27" t="s">
        <v>105</v>
      </c>
      <c r="C85" s="20" t="s">
        <v>9</v>
      </c>
      <c r="D85" s="20">
        <v>1</v>
      </c>
      <c r="E85" s="21">
        <f t="shared" si="23"/>
        <v>17200</v>
      </c>
      <c r="F85" s="21">
        <f t="shared" si="20"/>
        <v>17200</v>
      </c>
      <c r="G85" s="172" t="s">
        <v>569</v>
      </c>
      <c r="H85" s="157">
        <f t="shared" si="24"/>
        <v>17200</v>
      </c>
      <c r="I85" s="172" t="s">
        <v>565</v>
      </c>
      <c r="J85" s="159"/>
      <c r="K85" s="160">
        <f t="shared" si="25"/>
        <v>17200</v>
      </c>
      <c r="L85" s="160"/>
      <c r="M85" s="161"/>
      <c r="N85" s="160">
        <v>100</v>
      </c>
      <c r="O85" s="162">
        <v>17000</v>
      </c>
      <c r="P85" s="160">
        <v>100</v>
      </c>
      <c r="Q85" s="173"/>
      <c r="R85" s="173" t="s">
        <v>566</v>
      </c>
    </row>
    <row r="86" spans="1:18" ht="34.200000000000003" x14ac:dyDescent="0.3">
      <c r="A86" s="268" t="s">
        <v>106</v>
      </c>
      <c r="B86" s="27" t="s">
        <v>107</v>
      </c>
      <c r="C86" s="20" t="s">
        <v>9</v>
      </c>
      <c r="D86" s="20">
        <v>1</v>
      </c>
      <c r="E86" s="21">
        <f t="shared" si="23"/>
        <v>75100</v>
      </c>
      <c r="F86" s="21">
        <f t="shared" si="20"/>
        <v>75100</v>
      </c>
      <c r="G86" s="172" t="s">
        <v>569</v>
      </c>
      <c r="H86" s="157">
        <f t="shared" si="24"/>
        <v>75100</v>
      </c>
      <c r="I86" s="172" t="s">
        <v>567</v>
      </c>
      <c r="J86" s="159"/>
      <c r="K86" s="160">
        <f t="shared" si="25"/>
        <v>75100</v>
      </c>
      <c r="L86" s="160"/>
      <c r="M86" s="161">
        <v>75000</v>
      </c>
      <c r="N86" s="160">
        <v>100</v>
      </c>
      <c r="O86" s="162"/>
      <c r="P86" s="160"/>
      <c r="Q86" s="237" t="s">
        <v>968</v>
      </c>
      <c r="R86" s="173" t="s">
        <v>568</v>
      </c>
    </row>
    <row r="87" spans="1:18" ht="15.6" x14ac:dyDescent="0.3">
      <c r="A87" s="30"/>
      <c r="B87" s="27"/>
      <c r="C87" s="20"/>
      <c r="D87" s="20"/>
      <c r="E87" s="25"/>
      <c r="F87" s="22"/>
      <c r="G87" s="177"/>
      <c r="H87" s="178"/>
      <c r="I87" s="178"/>
      <c r="J87" s="178"/>
      <c r="K87" s="178"/>
      <c r="L87" s="178"/>
      <c r="M87" s="178"/>
      <c r="N87" s="178"/>
      <c r="O87" s="178"/>
      <c r="P87" s="178"/>
      <c r="Q87" s="178"/>
      <c r="R87" s="178"/>
    </row>
    <row r="88" spans="1:18" ht="15.6" x14ac:dyDescent="0.3">
      <c r="A88" s="155" t="s">
        <v>259</v>
      </c>
      <c r="B88" s="155"/>
      <c r="C88" s="155"/>
      <c r="D88" s="155"/>
      <c r="E88" s="224"/>
      <c r="F88" s="38">
        <f>SUBTOTAL(109,F4:F87)</f>
        <v>1124490</v>
      </c>
      <c r="G88" s="177"/>
      <c r="H88" s="178"/>
      <c r="I88" s="178"/>
      <c r="J88" s="178"/>
      <c r="K88" s="178"/>
      <c r="L88" s="178"/>
      <c r="M88" s="178"/>
      <c r="N88" s="178"/>
      <c r="O88" s="178"/>
      <c r="P88" s="178"/>
      <c r="Q88" s="178"/>
      <c r="R88" s="178"/>
    </row>
    <row r="89" spans="1:18" ht="15.6" x14ac:dyDescent="0.3">
      <c r="A89" s="39"/>
      <c r="B89" s="39"/>
      <c r="C89" s="100"/>
      <c r="D89" s="100"/>
      <c r="E89" s="228"/>
      <c r="F89" s="229"/>
    </row>
    <row r="90" spans="1:18" ht="15.6" x14ac:dyDescent="0.3">
      <c r="A90" s="39"/>
      <c r="B90" s="39"/>
      <c r="C90" s="100"/>
      <c r="D90" s="100"/>
      <c r="E90" s="228"/>
      <c r="F90" s="229"/>
    </row>
    <row r="91" spans="1:18" ht="15.6" x14ac:dyDescent="0.3">
      <c r="A91" s="39"/>
      <c r="B91" s="39"/>
      <c r="C91" s="100"/>
      <c r="D91" s="100"/>
      <c r="E91" s="228"/>
      <c r="F91" s="229"/>
    </row>
    <row r="92" spans="1:18" ht="15.6" x14ac:dyDescent="0.3">
      <c r="A92" s="39"/>
      <c r="B92" s="39"/>
      <c r="C92" s="100"/>
      <c r="D92" s="100"/>
      <c r="E92" s="228"/>
      <c r="F92" s="229"/>
    </row>
    <row r="93" spans="1:18" ht="15.6" x14ac:dyDescent="0.3">
      <c r="A93" s="39"/>
      <c r="B93" s="39"/>
      <c r="C93" s="100"/>
      <c r="D93" s="100"/>
      <c r="E93" s="228"/>
      <c r="F93" s="229"/>
    </row>
    <row r="94" spans="1:18" ht="15.6" x14ac:dyDescent="0.3">
      <c r="A94" s="39"/>
      <c r="B94" s="39"/>
      <c r="C94" s="100"/>
      <c r="D94" s="100"/>
      <c r="E94" s="228"/>
      <c r="F94" s="229"/>
    </row>
    <row r="95" spans="1:18" ht="15.6" x14ac:dyDescent="0.3">
      <c r="A95" s="39"/>
      <c r="B95" s="39"/>
      <c r="C95" s="100"/>
      <c r="D95" s="100"/>
      <c r="E95" s="228"/>
      <c r="F95" s="229"/>
    </row>
    <row r="96" spans="1:18" ht="15.6" x14ac:dyDescent="0.3">
      <c r="A96" s="39"/>
      <c r="B96" s="39"/>
      <c r="C96" s="100"/>
      <c r="D96" s="100"/>
      <c r="E96" s="228"/>
      <c r="F96" s="229"/>
    </row>
    <row r="97" spans="1:6" ht="15.6" x14ac:dyDescent="0.3">
      <c r="A97" s="39"/>
      <c r="B97" s="39"/>
      <c r="C97" s="100"/>
      <c r="D97" s="100"/>
      <c r="E97" s="228"/>
      <c r="F97" s="229"/>
    </row>
    <row r="98" spans="1:6" ht="15.6" x14ac:dyDescent="0.3">
      <c r="A98" s="39"/>
      <c r="B98" s="39"/>
      <c r="C98" s="100"/>
      <c r="D98" s="100"/>
      <c r="E98" s="228"/>
      <c r="F98" s="229"/>
    </row>
    <row r="99" spans="1:6" ht="15.6" x14ac:dyDescent="0.3">
      <c r="A99" s="39"/>
      <c r="B99" s="39"/>
      <c r="C99" s="100"/>
      <c r="D99" s="100"/>
      <c r="E99" s="228"/>
      <c r="F99" s="229"/>
    </row>
    <row r="100" spans="1:6" ht="15.6" x14ac:dyDescent="0.3">
      <c r="A100" s="39"/>
      <c r="B100" s="39"/>
      <c r="C100" s="100"/>
      <c r="D100" s="100"/>
      <c r="E100" s="228"/>
      <c r="F100" s="229"/>
    </row>
    <row r="101" spans="1:6" ht="15.6" x14ac:dyDescent="0.3">
      <c r="A101" s="39"/>
      <c r="B101" s="39"/>
      <c r="C101" s="100"/>
      <c r="D101" s="100"/>
      <c r="E101" s="228"/>
      <c r="F101" s="229"/>
    </row>
    <row r="102" spans="1:6" ht="15.6" x14ac:dyDescent="0.3">
      <c r="A102" s="39"/>
      <c r="B102" s="39"/>
      <c r="C102" s="100"/>
      <c r="D102" s="100"/>
      <c r="E102" s="228"/>
      <c r="F102" s="229"/>
    </row>
    <row r="103" spans="1:6" ht="15.6" x14ac:dyDescent="0.3">
      <c r="A103" s="39"/>
      <c r="B103" s="39"/>
      <c r="C103" s="100"/>
      <c r="D103" s="100"/>
      <c r="E103" s="228"/>
      <c r="F103" s="229"/>
    </row>
    <row r="104" spans="1:6" ht="15.6" x14ac:dyDescent="0.3">
      <c r="A104" s="39"/>
      <c r="B104" s="39"/>
      <c r="C104" s="100"/>
      <c r="D104" s="100"/>
      <c r="E104" s="228"/>
      <c r="F104" s="229"/>
    </row>
    <row r="105" spans="1:6" ht="15.6" x14ac:dyDescent="0.3">
      <c r="A105" s="39"/>
      <c r="B105" s="39"/>
      <c r="C105" s="100"/>
      <c r="D105" s="100"/>
      <c r="E105" s="228"/>
      <c r="F105" s="229"/>
    </row>
    <row r="106" spans="1:6" ht="15.6" x14ac:dyDescent="0.3">
      <c r="A106" s="39"/>
      <c r="B106" s="39"/>
      <c r="C106" s="100"/>
      <c r="D106" s="100"/>
      <c r="E106" s="228"/>
      <c r="F106" s="229"/>
    </row>
    <row r="107" spans="1:6" ht="15.6" x14ac:dyDescent="0.3">
      <c r="A107" s="39"/>
      <c r="B107" s="39"/>
      <c r="C107" s="100"/>
      <c r="D107" s="100"/>
      <c r="E107" s="228"/>
      <c r="F107" s="229"/>
    </row>
    <row r="108" spans="1:6" ht="15.6" x14ac:dyDescent="0.3">
      <c r="A108" s="39"/>
      <c r="B108" s="39"/>
      <c r="C108" s="100"/>
      <c r="D108" s="100"/>
      <c r="E108" s="228"/>
      <c r="F108" s="229"/>
    </row>
    <row r="109" spans="1:6" ht="15.6" x14ac:dyDescent="0.3">
      <c r="A109" s="39"/>
      <c r="B109" s="39"/>
      <c r="C109" s="100"/>
      <c r="D109" s="100"/>
      <c r="E109" s="228"/>
      <c r="F109" s="229"/>
    </row>
    <row r="110" spans="1:6" ht="15.6" x14ac:dyDescent="0.3">
      <c r="A110" s="39"/>
      <c r="B110" s="39"/>
      <c r="C110" s="100"/>
      <c r="D110" s="100"/>
      <c r="E110" s="228"/>
      <c r="F110" s="229"/>
    </row>
    <row r="111" spans="1:6" ht="15.6" x14ac:dyDescent="0.3">
      <c r="A111" s="39"/>
      <c r="B111" s="39"/>
      <c r="C111" s="100"/>
      <c r="D111" s="100"/>
      <c r="E111" s="228"/>
      <c r="F111" s="229"/>
    </row>
    <row r="112" spans="1:6" ht="15.6" x14ac:dyDescent="0.3">
      <c r="A112" s="39"/>
      <c r="B112" s="39"/>
      <c r="C112" s="100"/>
      <c r="D112" s="100"/>
      <c r="E112" s="228"/>
      <c r="F112" s="229"/>
    </row>
    <row r="113" spans="1:6" ht="15.6" x14ac:dyDescent="0.3">
      <c r="A113" s="39"/>
      <c r="B113" s="39"/>
      <c r="C113" s="100"/>
      <c r="D113" s="100"/>
      <c r="E113" s="228"/>
      <c r="F113" s="229"/>
    </row>
    <row r="114" spans="1:6" ht="15.6" x14ac:dyDescent="0.3">
      <c r="A114" s="39"/>
      <c r="B114" s="39"/>
      <c r="C114" s="100"/>
      <c r="D114" s="100"/>
      <c r="E114" s="228"/>
      <c r="F114" s="229"/>
    </row>
    <row r="115" spans="1:6" ht="15.6" x14ac:dyDescent="0.3">
      <c r="A115" s="39"/>
      <c r="B115" s="39"/>
      <c r="C115" s="100"/>
      <c r="D115" s="100"/>
      <c r="E115" s="228"/>
      <c r="F115" s="229"/>
    </row>
    <row r="116" spans="1:6" ht="15.6" x14ac:dyDescent="0.3">
      <c r="A116" s="39"/>
      <c r="B116" s="39"/>
      <c r="C116" s="100"/>
      <c r="D116" s="100"/>
      <c r="E116" s="228"/>
      <c r="F116" s="229"/>
    </row>
    <row r="117" spans="1:6" ht="15.6" x14ac:dyDescent="0.3">
      <c r="A117" s="39"/>
      <c r="B117" s="39"/>
      <c r="C117" s="100"/>
      <c r="D117" s="100"/>
      <c r="E117" s="228"/>
      <c r="F117" s="229"/>
    </row>
    <row r="118" spans="1:6" ht="15.6" x14ac:dyDescent="0.3">
      <c r="A118" s="39"/>
      <c r="B118" s="39"/>
      <c r="C118" s="100"/>
      <c r="D118" s="100"/>
      <c r="E118" s="228"/>
      <c r="F118" s="229"/>
    </row>
    <row r="119" spans="1:6" ht="15.6" x14ac:dyDescent="0.3">
      <c r="A119" s="39"/>
      <c r="B119" s="39"/>
      <c r="C119" s="100"/>
      <c r="D119" s="100"/>
      <c r="E119" s="228"/>
      <c r="F119" s="229"/>
    </row>
    <row r="120" spans="1:6" ht="15.6" x14ac:dyDescent="0.3">
      <c r="A120" s="39"/>
      <c r="B120" s="39"/>
      <c r="C120" s="100"/>
      <c r="D120" s="100"/>
      <c r="E120" s="228"/>
      <c r="F120" s="229"/>
    </row>
    <row r="121" spans="1:6" ht="15.6" x14ac:dyDescent="0.3">
      <c r="A121" s="39"/>
      <c r="B121" s="39"/>
      <c r="C121" s="100"/>
      <c r="D121" s="100"/>
      <c r="E121" s="228"/>
      <c r="F121" s="229"/>
    </row>
    <row r="122" spans="1:6" ht="15.6" x14ac:dyDescent="0.3">
      <c r="A122" s="39"/>
      <c r="B122" s="39"/>
      <c r="C122" s="100"/>
      <c r="D122" s="100"/>
      <c r="E122" s="228"/>
      <c r="F122" s="229"/>
    </row>
    <row r="123" spans="1:6" ht="15.6" x14ac:dyDescent="0.3">
      <c r="A123" s="39"/>
      <c r="B123" s="39"/>
      <c r="C123" s="100"/>
      <c r="D123" s="100"/>
      <c r="E123" s="228"/>
      <c r="F123" s="229"/>
    </row>
    <row r="124" spans="1:6" ht="15.6" x14ac:dyDescent="0.3">
      <c r="A124" s="39"/>
      <c r="B124" s="39"/>
      <c r="C124" s="100"/>
      <c r="D124" s="100"/>
      <c r="E124" s="228"/>
      <c r="F124" s="229"/>
    </row>
    <row r="125" spans="1:6" ht="15.6" x14ac:dyDescent="0.3">
      <c r="A125" s="39"/>
      <c r="B125" s="39"/>
      <c r="C125" s="100"/>
      <c r="D125" s="100"/>
      <c r="E125" s="228"/>
      <c r="F125" s="229"/>
    </row>
    <row r="126" spans="1:6" ht="15.6" x14ac:dyDescent="0.3">
      <c r="A126" s="39"/>
      <c r="B126" s="39"/>
      <c r="C126" s="100"/>
      <c r="D126" s="100"/>
      <c r="E126" s="228"/>
      <c r="F126" s="229"/>
    </row>
    <row r="127" spans="1:6" ht="15.6" x14ac:dyDescent="0.3">
      <c r="A127" s="39"/>
      <c r="B127" s="39"/>
      <c r="C127" s="100"/>
      <c r="D127" s="100"/>
      <c r="E127" s="228"/>
      <c r="F127" s="229"/>
    </row>
    <row r="128" spans="1:6" ht="15.6" x14ac:dyDescent="0.3">
      <c r="A128" s="39"/>
      <c r="B128" s="39"/>
      <c r="C128" s="100"/>
      <c r="D128" s="100"/>
      <c r="E128" s="228"/>
      <c r="F128" s="229"/>
    </row>
    <row r="129" spans="1:6" ht="15.6" x14ac:dyDescent="0.3">
      <c r="A129" s="39"/>
      <c r="B129" s="39"/>
      <c r="C129" s="100"/>
      <c r="D129" s="100"/>
      <c r="E129" s="228"/>
      <c r="F129" s="229"/>
    </row>
    <row r="130" spans="1:6" ht="15.6" x14ac:dyDescent="0.3">
      <c r="A130" s="39"/>
      <c r="B130" s="39"/>
      <c r="C130" s="100"/>
      <c r="D130" s="100"/>
      <c r="E130" s="228"/>
      <c r="F130" s="229"/>
    </row>
    <row r="131" spans="1:6" ht="15.6" x14ac:dyDescent="0.3">
      <c r="A131" s="39"/>
      <c r="B131" s="39"/>
      <c r="C131" s="100"/>
      <c r="D131" s="100"/>
      <c r="E131" s="228"/>
      <c r="F131" s="229"/>
    </row>
    <row r="132" spans="1:6" ht="15.6" x14ac:dyDescent="0.3">
      <c r="A132" s="39"/>
      <c r="B132" s="39"/>
      <c r="C132" s="100"/>
      <c r="D132" s="100"/>
      <c r="E132" s="228"/>
      <c r="F132" s="229"/>
    </row>
    <row r="133" spans="1:6" ht="15.6" x14ac:dyDescent="0.3">
      <c r="A133" s="39"/>
      <c r="B133" s="39"/>
      <c r="C133" s="100"/>
      <c r="D133" s="100"/>
      <c r="E133" s="228"/>
      <c r="F133" s="229"/>
    </row>
    <row r="134" spans="1:6" ht="15.6" x14ac:dyDescent="0.3">
      <c r="A134" s="39"/>
      <c r="B134" s="39"/>
      <c r="C134" s="100"/>
      <c r="D134" s="100"/>
      <c r="E134" s="228"/>
      <c r="F134" s="229"/>
    </row>
    <row r="135" spans="1:6" ht="15.6" x14ac:dyDescent="0.3">
      <c r="A135" s="39"/>
      <c r="B135" s="39"/>
      <c r="C135" s="100"/>
      <c r="D135" s="100"/>
      <c r="E135" s="228"/>
      <c r="F135" s="229"/>
    </row>
    <row r="136" spans="1:6" ht="15.6" x14ac:dyDescent="0.3">
      <c r="A136" s="39"/>
      <c r="B136" s="39"/>
      <c r="C136" s="100"/>
      <c r="D136" s="100"/>
      <c r="E136" s="228"/>
      <c r="F136" s="229"/>
    </row>
    <row r="137" spans="1:6" ht="15.6" x14ac:dyDescent="0.3">
      <c r="A137" s="39"/>
      <c r="B137" s="39"/>
      <c r="C137" s="100"/>
      <c r="D137" s="100"/>
      <c r="E137" s="228"/>
      <c r="F137" s="229"/>
    </row>
    <row r="138" spans="1:6" ht="15.6" x14ac:dyDescent="0.3">
      <c r="A138" s="39"/>
      <c r="B138" s="39"/>
      <c r="C138" s="100"/>
      <c r="D138" s="100"/>
      <c r="E138" s="228"/>
      <c r="F138" s="229"/>
    </row>
    <row r="139" spans="1:6" ht="15.6" x14ac:dyDescent="0.3">
      <c r="A139" s="39"/>
      <c r="B139" s="39"/>
      <c r="C139" s="100"/>
      <c r="D139" s="100"/>
      <c r="E139" s="228"/>
      <c r="F139" s="229"/>
    </row>
    <row r="140" spans="1:6" ht="15.6" x14ac:dyDescent="0.3">
      <c r="A140" s="39"/>
      <c r="B140" s="39"/>
      <c r="C140" s="100"/>
      <c r="D140" s="100"/>
      <c r="E140" s="228"/>
      <c r="F140" s="229"/>
    </row>
    <row r="141" spans="1:6" ht="15.6" x14ac:dyDescent="0.3">
      <c r="A141" s="39"/>
      <c r="B141" s="39"/>
      <c r="C141" s="100"/>
      <c r="D141" s="100"/>
      <c r="E141" s="228"/>
      <c r="F141" s="229"/>
    </row>
    <row r="142" spans="1:6" ht="15.6" x14ac:dyDescent="0.3">
      <c r="A142" s="39"/>
      <c r="B142" s="39"/>
      <c r="C142" s="100"/>
      <c r="D142" s="100"/>
      <c r="E142" s="228"/>
      <c r="F142" s="229"/>
    </row>
    <row r="143" spans="1:6" ht="15.6" x14ac:dyDescent="0.3">
      <c r="A143" s="39"/>
      <c r="B143" s="39"/>
      <c r="C143" s="100"/>
      <c r="D143" s="100"/>
      <c r="E143" s="228"/>
      <c r="F143" s="229"/>
    </row>
    <row r="144" spans="1:6" ht="15.6" x14ac:dyDescent="0.3">
      <c r="A144" s="39"/>
      <c r="B144" s="39"/>
      <c r="C144" s="100"/>
      <c r="D144" s="100"/>
      <c r="E144" s="228"/>
      <c r="F144" s="229"/>
    </row>
    <row r="145" spans="1:6" ht="15.6" x14ac:dyDescent="0.3">
      <c r="A145" s="39"/>
      <c r="B145" s="39"/>
      <c r="C145" s="100"/>
      <c r="D145" s="100"/>
      <c r="E145" s="228"/>
      <c r="F145" s="229"/>
    </row>
  </sheetData>
  <protectedRanges>
    <protectedRange sqref="F9:F87" name="Range1"/>
    <protectedRange sqref="F8" name="Range1_1"/>
  </protectedRanges>
  <mergeCells count="2">
    <mergeCell ref="A1:F1"/>
    <mergeCell ref="A2:F2"/>
  </mergeCells>
  <phoneticPr fontId="10" type="noConversion"/>
  <printOptions horizontalCentered="1"/>
  <pageMargins left="0.35" right="0.24" top="0.5" bottom="0.75" header="0.3" footer="0.3"/>
  <pageSetup paperSize="9" scale="29" fitToHeight="0" orientation="portrait" r:id="rId1"/>
  <ignoredErrors>
    <ignoredError sqref="F45:F57 F65:F72 F9:F15 F21:F27 F31:F37 F41 F60 F73:F76" unlockedFormula="1"/>
    <ignoredError sqref="F88"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
    <pageSetUpPr fitToPage="1"/>
  </sheetPr>
  <dimension ref="A1:V133"/>
  <sheetViews>
    <sheetView tabSelected="1" view="pageBreakPreview" zoomScale="55" zoomScaleNormal="100" zoomScaleSheetLayoutView="55" workbookViewId="0">
      <pane xSplit="2" ySplit="3" topLeftCell="C101" activePane="bottomRight" state="frozen"/>
      <selection activeCell="B21" sqref="B21"/>
      <selection pane="topRight" activeCell="B21" sqref="B21"/>
      <selection pane="bottomLeft" activeCell="B21" sqref="B21"/>
      <selection pane="bottomRight" activeCell="H114" sqref="H114"/>
    </sheetView>
  </sheetViews>
  <sheetFormatPr defaultColWidth="9.21875" defaultRowHeight="14.4" x14ac:dyDescent="0.3"/>
  <cols>
    <col min="1" max="1" width="25" style="101" bestFit="1" customWidth="1"/>
    <col min="2" max="2" width="102.44140625" style="9" bestFit="1" customWidth="1"/>
    <col min="3" max="3" width="5.6640625" style="101" bestFit="1" customWidth="1"/>
    <col min="4" max="4" width="7.21875" style="101" bestFit="1" customWidth="1"/>
    <col min="5" max="5" width="21.6640625" style="230" bestFit="1" customWidth="1"/>
    <col min="6" max="6" width="17.6640625" style="230" bestFit="1" customWidth="1"/>
    <col min="7" max="7" width="31.109375" style="9" bestFit="1" customWidth="1"/>
    <col min="8" max="8" width="9.6640625" style="9" bestFit="1" customWidth="1"/>
    <col min="9" max="9" width="21.88671875" style="9" bestFit="1" customWidth="1"/>
    <col min="10" max="10" width="5.88671875" style="9" bestFit="1" customWidth="1"/>
    <col min="11" max="11" width="9.6640625" style="9" bestFit="1" customWidth="1"/>
    <col min="12" max="12" width="15.44140625" style="9" bestFit="1" customWidth="1"/>
    <col min="13" max="13" width="9.6640625" style="101" bestFit="1" customWidth="1"/>
    <col min="14" max="14" width="15.77734375" style="101" bestFit="1" customWidth="1"/>
    <col min="15" max="15" width="8.88671875" style="101" bestFit="1" customWidth="1"/>
    <col min="16" max="16" width="8.5546875" style="101" bestFit="1" customWidth="1"/>
    <col min="17" max="17" width="41.21875" style="9" bestFit="1" customWidth="1"/>
    <col min="18" max="18" width="22.33203125" style="9" bestFit="1" customWidth="1"/>
    <col min="19" max="16384" width="9.21875" style="9"/>
  </cols>
  <sheetData>
    <row r="1" spans="1:22" s="104" customFormat="1" ht="82.05" customHeight="1" thickBot="1" x14ac:dyDescent="0.35">
      <c r="A1" s="290"/>
      <c r="B1" s="291"/>
      <c r="C1" s="291"/>
      <c r="D1" s="291"/>
      <c r="E1" s="291"/>
      <c r="F1" s="292"/>
      <c r="M1" s="167"/>
      <c r="N1" s="167"/>
      <c r="O1" s="167"/>
      <c r="P1" s="167"/>
    </row>
    <row r="2" spans="1:22" s="7" customFormat="1" ht="24" thickBot="1" x14ac:dyDescent="0.35">
      <c r="A2" s="293" t="s">
        <v>354</v>
      </c>
      <c r="B2" s="294"/>
      <c r="C2" s="294"/>
      <c r="D2" s="294"/>
      <c r="E2" s="294"/>
      <c r="F2" s="295"/>
      <c r="J2" s="221">
        <v>1</v>
      </c>
      <c r="M2" s="220"/>
      <c r="N2" s="220"/>
      <c r="O2" s="220"/>
      <c r="P2" s="220"/>
    </row>
    <row r="3" spans="1:22" ht="32.549999999999997" customHeight="1" thickTop="1" thickBot="1" x14ac:dyDescent="0.35">
      <c r="A3" s="116" t="s">
        <v>4</v>
      </c>
      <c r="B3" s="117" t="s">
        <v>5</v>
      </c>
      <c r="C3" s="118" t="s">
        <v>0</v>
      </c>
      <c r="D3" s="118" t="s">
        <v>412</v>
      </c>
      <c r="E3" s="118" t="s">
        <v>340</v>
      </c>
      <c r="F3" s="181" t="s">
        <v>339</v>
      </c>
      <c r="G3" s="187" t="s">
        <v>538</v>
      </c>
      <c r="H3" s="187" t="s">
        <v>525</v>
      </c>
      <c r="I3" s="187" t="s">
        <v>526</v>
      </c>
      <c r="J3" s="187" t="s">
        <v>527</v>
      </c>
      <c r="K3" s="187" t="s">
        <v>528</v>
      </c>
      <c r="L3" s="187" t="s">
        <v>529</v>
      </c>
      <c r="M3" s="187" t="s">
        <v>530</v>
      </c>
      <c r="N3" s="187" t="s">
        <v>531</v>
      </c>
      <c r="O3" s="187" t="s">
        <v>532</v>
      </c>
      <c r="P3" s="187" t="s">
        <v>533</v>
      </c>
      <c r="Q3" s="187" t="s">
        <v>534</v>
      </c>
      <c r="R3" s="187" t="s">
        <v>535</v>
      </c>
      <c r="S3" s="7"/>
      <c r="T3" s="7"/>
      <c r="U3" s="7"/>
      <c r="V3" s="7"/>
    </row>
    <row r="4" spans="1:22" ht="15.6" x14ac:dyDescent="0.3">
      <c r="A4" s="257">
        <v>16.170000000000002</v>
      </c>
      <c r="B4" s="112" t="s">
        <v>108</v>
      </c>
      <c r="C4" s="113"/>
      <c r="D4" s="114"/>
      <c r="E4" s="115"/>
      <c r="F4" s="183"/>
      <c r="G4" s="189" t="s">
        <v>575</v>
      </c>
      <c r="H4" s="189"/>
      <c r="I4" s="189"/>
      <c r="J4" s="189"/>
      <c r="K4" s="238"/>
      <c r="L4" s="239"/>
      <c r="M4" s="239"/>
      <c r="N4" s="189"/>
      <c r="O4" s="189"/>
      <c r="P4" s="189"/>
      <c r="Q4" s="189"/>
      <c r="R4" s="189"/>
      <c r="S4" s="189"/>
      <c r="T4" s="7"/>
      <c r="U4" s="7"/>
      <c r="V4" s="7"/>
    </row>
    <row r="5" spans="1:22" ht="110.4" x14ac:dyDescent="0.3">
      <c r="A5" s="251"/>
      <c r="B5" s="51" t="s">
        <v>969</v>
      </c>
      <c r="C5" s="52" t="s">
        <v>304</v>
      </c>
      <c r="D5" s="98">
        <v>1</v>
      </c>
      <c r="E5" s="50">
        <f>ROUNDUP(H5*$J$2,0)</f>
        <v>70767</v>
      </c>
      <c r="F5" s="184">
        <f>D5*E5</f>
        <v>70767</v>
      </c>
      <c r="G5" s="188" t="s">
        <v>574</v>
      </c>
      <c r="H5" s="163">
        <f t="shared" ref="H5" si="0">K5</f>
        <v>70767</v>
      </c>
      <c r="I5" s="188" t="s">
        <v>570</v>
      </c>
      <c r="J5" s="159"/>
      <c r="K5" s="164">
        <f t="shared" ref="K5" si="1">L5+M5+N5+O5+P5</f>
        <v>70767</v>
      </c>
      <c r="L5" s="164">
        <v>317</v>
      </c>
      <c r="M5" s="165">
        <f>18500+8750+14200+6400+3700+8000+5000</f>
        <v>64550</v>
      </c>
      <c r="N5" s="164">
        <v>400</v>
      </c>
      <c r="O5" s="166">
        <v>5000</v>
      </c>
      <c r="P5" s="164">
        <v>500</v>
      </c>
      <c r="Q5" s="236" t="s">
        <v>1007</v>
      </c>
      <c r="R5" s="250" t="s">
        <v>1008</v>
      </c>
      <c r="S5" s="7"/>
      <c r="T5" s="7"/>
      <c r="U5" s="7"/>
      <c r="V5" s="7"/>
    </row>
    <row r="6" spans="1:22" ht="62.4" x14ac:dyDescent="0.3">
      <c r="A6" s="255"/>
      <c r="B6" s="51" t="s">
        <v>1010</v>
      </c>
      <c r="C6" s="47"/>
      <c r="D6" s="47"/>
      <c r="E6" s="48"/>
      <c r="F6" s="184"/>
      <c r="G6" s="180"/>
      <c r="H6" s="178"/>
      <c r="I6" s="178"/>
      <c r="J6" s="178"/>
      <c r="K6" s="178"/>
      <c r="L6" s="178"/>
      <c r="M6" s="218"/>
      <c r="N6" s="218"/>
      <c r="O6" s="218"/>
      <c r="P6" s="218"/>
      <c r="Q6" s="178"/>
      <c r="R6" s="178"/>
    </row>
    <row r="7" spans="1:22" ht="15.6" x14ac:dyDescent="0.3">
      <c r="A7" s="255"/>
      <c r="B7" s="59" t="s">
        <v>1009</v>
      </c>
      <c r="C7" s="47"/>
      <c r="D7" s="47"/>
      <c r="E7" s="48"/>
      <c r="F7" s="184"/>
      <c r="G7" s="180"/>
      <c r="H7" s="178"/>
      <c r="I7" s="178"/>
      <c r="J7" s="178"/>
      <c r="K7" s="178"/>
      <c r="L7" s="178"/>
      <c r="M7" s="218"/>
      <c r="N7" s="218"/>
      <c r="O7" s="218"/>
      <c r="P7" s="218"/>
      <c r="Q7" s="178"/>
      <c r="R7" s="178"/>
    </row>
    <row r="8" spans="1:22" ht="15.6" x14ac:dyDescent="0.3">
      <c r="A8" s="255"/>
      <c r="B8" s="46" t="s">
        <v>109</v>
      </c>
      <c r="C8" s="47"/>
      <c r="D8" s="47"/>
      <c r="E8" s="48"/>
      <c r="F8" s="184"/>
      <c r="G8" s="180"/>
      <c r="H8" s="178"/>
      <c r="I8" s="178"/>
      <c r="J8" s="178"/>
      <c r="K8" s="178"/>
      <c r="L8" s="178"/>
      <c r="M8" s="218"/>
      <c r="N8" s="218"/>
      <c r="O8" s="218"/>
      <c r="P8" s="218"/>
      <c r="Q8" s="178"/>
      <c r="R8" s="178"/>
    </row>
    <row r="9" spans="1:22" ht="31.2" x14ac:dyDescent="0.3">
      <c r="A9" s="252" t="s">
        <v>439</v>
      </c>
      <c r="B9" s="55" t="s">
        <v>338</v>
      </c>
      <c r="C9" s="52" t="s">
        <v>304</v>
      </c>
      <c r="D9" s="98">
        <v>32</v>
      </c>
      <c r="E9" s="222">
        <f>ROUNDUP(H9*$J$2,0)</f>
        <v>671</v>
      </c>
      <c r="F9" s="222">
        <f>D9*E9</f>
        <v>21472</v>
      </c>
      <c r="G9" s="188" t="s">
        <v>574</v>
      </c>
      <c r="H9" s="163">
        <f t="shared" ref="H9:H15" si="2">K9</f>
        <v>670.8</v>
      </c>
      <c r="I9" s="188" t="s">
        <v>570</v>
      </c>
      <c r="J9" s="159"/>
      <c r="K9" s="164">
        <f t="shared" ref="K9:K13" si="3">L9+M9+N9+O9+P9</f>
        <v>670.8</v>
      </c>
      <c r="L9" s="164">
        <f>'بريك داون تيار خفيف'!Q4</f>
        <v>142.80000000000001</v>
      </c>
      <c r="M9" s="165">
        <v>510</v>
      </c>
      <c r="N9" s="164">
        <v>8</v>
      </c>
      <c r="O9" s="166"/>
      <c r="P9" s="164">
        <v>10</v>
      </c>
      <c r="Q9" s="188" t="s">
        <v>929</v>
      </c>
      <c r="R9" s="188" t="s">
        <v>571</v>
      </c>
    </row>
    <row r="10" spans="1:22" ht="15.6" x14ac:dyDescent="0.3">
      <c r="A10" s="252" t="s">
        <v>440</v>
      </c>
      <c r="B10" s="55" t="s">
        <v>337</v>
      </c>
      <c r="C10" s="52" t="s">
        <v>304</v>
      </c>
      <c r="D10" s="98">
        <v>4</v>
      </c>
      <c r="E10" s="222">
        <f t="shared" ref="E10:E15" si="4">ROUNDUP(H10*$J$2,0)</f>
        <v>778</v>
      </c>
      <c r="F10" s="222">
        <f t="shared" ref="F10:F15" si="5">D10*E10</f>
        <v>3112</v>
      </c>
      <c r="G10" s="188" t="s">
        <v>574</v>
      </c>
      <c r="H10" s="163">
        <f t="shared" si="2"/>
        <v>777.8</v>
      </c>
      <c r="I10" s="188" t="s">
        <v>570</v>
      </c>
      <c r="J10" s="159"/>
      <c r="K10" s="164">
        <f t="shared" si="3"/>
        <v>777.8</v>
      </c>
      <c r="L10" s="164">
        <f>'بريك داون تيار خفيف'!Q5</f>
        <v>142.80000000000001</v>
      </c>
      <c r="M10" s="165">
        <v>620</v>
      </c>
      <c r="N10" s="164">
        <v>5</v>
      </c>
      <c r="O10" s="166"/>
      <c r="P10" s="164">
        <v>10</v>
      </c>
      <c r="Q10" s="188" t="s">
        <v>930</v>
      </c>
      <c r="R10" s="188" t="s">
        <v>572</v>
      </c>
    </row>
    <row r="11" spans="1:22" ht="31.2" x14ac:dyDescent="0.3">
      <c r="A11" s="252" t="s">
        <v>441</v>
      </c>
      <c r="B11" s="55" t="s">
        <v>336</v>
      </c>
      <c r="C11" s="52" t="s">
        <v>304</v>
      </c>
      <c r="D11" s="98">
        <v>8</v>
      </c>
      <c r="E11" s="222">
        <f t="shared" si="4"/>
        <v>558</v>
      </c>
      <c r="F11" s="222">
        <f t="shared" si="5"/>
        <v>4464</v>
      </c>
      <c r="G11" s="188" t="s">
        <v>574</v>
      </c>
      <c r="H11" s="163">
        <f t="shared" si="2"/>
        <v>557.79999999999995</v>
      </c>
      <c r="I11" s="188" t="s">
        <v>570</v>
      </c>
      <c r="J11" s="159"/>
      <c r="K11" s="164">
        <f t="shared" si="3"/>
        <v>557.79999999999995</v>
      </c>
      <c r="L11" s="164">
        <f>'بريك داون تيار خفيف'!Q6</f>
        <v>142.80000000000001</v>
      </c>
      <c r="M11" s="165">
        <v>400</v>
      </c>
      <c r="N11" s="164">
        <v>5</v>
      </c>
      <c r="O11" s="166"/>
      <c r="P11" s="164">
        <v>10</v>
      </c>
      <c r="Q11" s="188" t="s">
        <v>931</v>
      </c>
      <c r="R11" s="188" t="s">
        <v>571</v>
      </c>
    </row>
    <row r="12" spans="1:22" ht="31.2" x14ac:dyDescent="0.3">
      <c r="A12" s="252" t="s">
        <v>442</v>
      </c>
      <c r="B12" s="55" t="s">
        <v>398</v>
      </c>
      <c r="C12" s="52" t="s">
        <v>304</v>
      </c>
      <c r="D12" s="98">
        <v>6</v>
      </c>
      <c r="E12" s="222">
        <f t="shared" si="4"/>
        <v>908</v>
      </c>
      <c r="F12" s="222">
        <f t="shared" si="5"/>
        <v>5448</v>
      </c>
      <c r="G12" s="188" t="s">
        <v>574</v>
      </c>
      <c r="H12" s="163">
        <f t="shared" si="2"/>
        <v>907.8</v>
      </c>
      <c r="I12" s="188" t="s">
        <v>570</v>
      </c>
      <c r="J12" s="159"/>
      <c r="K12" s="164">
        <f t="shared" si="3"/>
        <v>907.8</v>
      </c>
      <c r="L12" s="164">
        <f>'بريك داون تيار خفيف'!Q7</f>
        <v>142.80000000000001</v>
      </c>
      <c r="M12" s="165">
        <v>750</v>
      </c>
      <c r="N12" s="164">
        <v>5</v>
      </c>
      <c r="O12" s="166"/>
      <c r="P12" s="164">
        <v>10</v>
      </c>
      <c r="Q12" s="188" t="s">
        <v>932</v>
      </c>
      <c r="R12" s="188" t="s">
        <v>572</v>
      </c>
    </row>
    <row r="13" spans="1:22" ht="15.6" x14ac:dyDescent="0.3">
      <c r="A13" s="252" t="s">
        <v>443</v>
      </c>
      <c r="B13" s="55" t="s">
        <v>335</v>
      </c>
      <c r="C13" s="52" t="s">
        <v>304</v>
      </c>
      <c r="D13" s="98">
        <v>1</v>
      </c>
      <c r="E13" s="222">
        <f t="shared" si="4"/>
        <v>4210</v>
      </c>
      <c r="F13" s="222">
        <f t="shared" si="5"/>
        <v>4210</v>
      </c>
      <c r="G13" s="188" t="s">
        <v>574</v>
      </c>
      <c r="H13" s="163">
        <f t="shared" si="2"/>
        <v>4210</v>
      </c>
      <c r="I13" s="188" t="s">
        <v>570</v>
      </c>
      <c r="J13" s="159"/>
      <c r="K13" s="164">
        <f t="shared" si="3"/>
        <v>4210</v>
      </c>
      <c r="L13" s="164">
        <f>'بريك داون تيار خفيف'!Q8</f>
        <v>0</v>
      </c>
      <c r="M13" s="165">
        <v>4200</v>
      </c>
      <c r="N13" s="164">
        <v>5</v>
      </c>
      <c r="O13" s="166"/>
      <c r="P13" s="164">
        <v>5</v>
      </c>
      <c r="Q13" s="188" t="s">
        <v>933</v>
      </c>
      <c r="R13" s="188" t="s">
        <v>573</v>
      </c>
    </row>
    <row r="14" spans="1:22" ht="15.6" x14ac:dyDescent="0.3">
      <c r="A14" s="252" t="s">
        <v>444</v>
      </c>
      <c r="B14" s="61" t="s">
        <v>334</v>
      </c>
      <c r="C14" s="52" t="s">
        <v>304</v>
      </c>
      <c r="D14" s="98">
        <v>1</v>
      </c>
      <c r="E14" s="222">
        <f t="shared" si="4"/>
        <v>5000</v>
      </c>
      <c r="F14" s="222">
        <f t="shared" si="5"/>
        <v>5000</v>
      </c>
      <c r="G14" s="188" t="s">
        <v>574</v>
      </c>
      <c r="H14" s="163">
        <f t="shared" si="2"/>
        <v>5000</v>
      </c>
      <c r="I14" s="188"/>
      <c r="J14" s="159"/>
      <c r="K14" s="164">
        <v>5000</v>
      </c>
      <c r="L14" s="164"/>
      <c r="M14" s="165"/>
      <c r="N14" s="164"/>
      <c r="O14" s="166"/>
      <c r="P14" s="164"/>
      <c r="Q14" s="188" t="s">
        <v>934</v>
      </c>
      <c r="R14" s="188" t="s">
        <v>566</v>
      </c>
    </row>
    <row r="15" spans="1:22" ht="15.6" x14ac:dyDescent="0.3">
      <c r="A15" s="252" t="s">
        <v>445</v>
      </c>
      <c r="B15" s="61" t="s">
        <v>303</v>
      </c>
      <c r="C15" s="52" t="s">
        <v>10</v>
      </c>
      <c r="D15" s="98">
        <v>1</v>
      </c>
      <c r="E15" s="222">
        <f t="shared" si="4"/>
        <v>15000</v>
      </c>
      <c r="F15" s="222">
        <f t="shared" si="5"/>
        <v>15000</v>
      </c>
      <c r="G15" s="188" t="s">
        <v>574</v>
      </c>
      <c r="H15" s="163">
        <f t="shared" si="2"/>
        <v>15000</v>
      </c>
      <c r="I15" s="188"/>
      <c r="J15" s="159"/>
      <c r="K15" s="164">
        <v>15000</v>
      </c>
      <c r="L15" s="164"/>
      <c r="M15" s="165"/>
      <c r="N15" s="164"/>
      <c r="O15" s="166"/>
      <c r="P15" s="164"/>
      <c r="Q15" s="188" t="s">
        <v>935</v>
      </c>
      <c r="R15" s="188" t="s">
        <v>566</v>
      </c>
    </row>
    <row r="16" spans="1:22" ht="15.6" x14ac:dyDescent="0.3">
      <c r="A16" s="252"/>
      <c r="B16" s="55"/>
      <c r="C16" s="52"/>
      <c r="D16" s="60"/>
      <c r="E16" s="54"/>
      <c r="F16" s="184"/>
      <c r="G16" s="180"/>
      <c r="H16" s="178"/>
      <c r="I16" s="178"/>
      <c r="J16" s="178"/>
      <c r="K16" s="178"/>
      <c r="L16" s="178"/>
      <c r="M16" s="218"/>
      <c r="N16" s="218"/>
      <c r="O16" s="218"/>
      <c r="P16" s="218"/>
      <c r="Q16" s="178"/>
      <c r="R16" s="178"/>
    </row>
    <row r="17" spans="1:18" ht="15.6" x14ac:dyDescent="0.3">
      <c r="A17" s="252"/>
      <c r="B17" s="55"/>
      <c r="C17" s="52"/>
      <c r="D17" s="49"/>
      <c r="E17" s="50"/>
      <c r="F17" s="184"/>
      <c r="G17" s="188"/>
      <c r="H17" s="163">
        <f t="shared" ref="H17" si="6">K17</f>
        <v>0</v>
      </c>
      <c r="I17" s="188"/>
      <c r="J17" s="159"/>
      <c r="K17" s="164">
        <f t="shared" ref="K17" si="7">L17+M17+N17+O17+P17</f>
        <v>0</v>
      </c>
      <c r="L17" s="164"/>
      <c r="M17" s="165"/>
      <c r="N17" s="164"/>
      <c r="O17" s="166"/>
      <c r="P17" s="164"/>
      <c r="Q17" s="188"/>
      <c r="R17" s="188"/>
    </row>
    <row r="18" spans="1:18" ht="15.6" x14ac:dyDescent="0.3">
      <c r="A18" s="280">
        <v>16.18</v>
      </c>
      <c r="B18" s="57" t="s">
        <v>150</v>
      </c>
      <c r="C18" s="52"/>
      <c r="D18" s="49"/>
      <c r="E18" s="50"/>
      <c r="F18" s="184"/>
      <c r="G18" s="189" t="s">
        <v>1022</v>
      </c>
      <c r="H18" s="189"/>
      <c r="I18" s="189"/>
      <c r="J18" s="189"/>
      <c r="K18" s="238"/>
      <c r="L18" s="239"/>
      <c r="M18" s="239"/>
      <c r="N18" s="189"/>
      <c r="O18" s="189"/>
      <c r="P18" s="189"/>
      <c r="Q18" s="189"/>
      <c r="R18" s="189"/>
    </row>
    <row r="19" spans="1:18" ht="46.8" x14ac:dyDescent="0.3">
      <c r="A19" s="281" t="s">
        <v>446</v>
      </c>
      <c r="B19" s="55" t="s">
        <v>333</v>
      </c>
      <c r="C19" s="52" t="s">
        <v>304</v>
      </c>
      <c r="D19" s="98">
        <v>4</v>
      </c>
      <c r="E19" s="222">
        <f t="shared" ref="E19:E23" si="8">ROUNDUP(H19*$J$2,0)</f>
        <v>1530</v>
      </c>
      <c r="F19" s="222">
        <f t="shared" ref="F19:F23" si="9">D19*E19</f>
        <v>6120</v>
      </c>
      <c r="G19" s="188" t="s">
        <v>956</v>
      </c>
      <c r="H19" s="163">
        <f t="shared" ref="H19:H24" si="10">K19</f>
        <v>1530</v>
      </c>
      <c r="I19" s="188" t="s">
        <v>950</v>
      </c>
      <c r="J19" s="159"/>
      <c r="K19" s="164">
        <f t="shared" ref="K19:K24" si="11">L19+M19+N19+O19+P19</f>
        <v>1530</v>
      </c>
      <c r="L19" s="164"/>
      <c r="M19" s="165">
        <v>1500</v>
      </c>
      <c r="N19" s="164">
        <v>10</v>
      </c>
      <c r="O19" s="166"/>
      <c r="P19" s="164">
        <v>20</v>
      </c>
      <c r="Q19" s="188" t="s">
        <v>951</v>
      </c>
      <c r="R19" s="188"/>
    </row>
    <row r="20" spans="1:18" ht="15.6" x14ac:dyDescent="0.3">
      <c r="A20" s="281" t="s">
        <v>447</v>
      </c>
      <c r="B20" s="55" t="s">
        <v>332</v>
      </c>
      <c r="C20" s="52" t="s">
        <v>304</v>
      </c>
      <c r="D20" s="98">
        <v>2</v>
      </c>
      <c r="E20" s="222">
        <f t="shared" si="8"/>
        <v>420</v>
      </c>
      <c r="F20" s="222">
        <f t="shared" si="9"/>
        <v>840</v>
      </c>
      <c r="G20" s="188" t="s">
        <v>956</v>
      </c>
      <c r="H20" s="163">
        <f t="shared" si="10"/>
        <v>420</v>
      </c>
      <c r="I20" s="188" t="s">
        <v>950</v>
      </c>
      <c r="J20" s="159"/>
      <c r="K20" s="164">
        <f t="shared" si="11"/>
        <v>420</v>
      </c>
      <c r="L20" s="164"/>
      <c r="M20" s="165">
        <v>390</v>
      </c>
      <c r="N20" s="164">
        <v>10</v>
      </c>
      <c r="O20" s="166"/>
      <c r="P20" s="164">
        <v>20</v>
      </c>
      <c r="Q20" s="188" t="s">
        <v>952</v>
      </c>
      <c r="R20" s="188"/>
    </row>
    <row r="21" spans="1:18" ht="31.2" x14ac:dyDescent="0.3">
      <c r="A21" s="281" t="s">
        <v>448</v>
      </c>
      <c r="B21" s="55" t="s">
        <v>331</v>
      </c>
      <c r="C21" s="52" t="s">
        <v>304</v>
      </c>
      <c r="D21" s="98">
        <v>1</v>
      </c>
      <c r="E21" s="222">
        <f t="shared" si="8"/>
        <v>4510</v>
      </c>
      <c r="F21" s="222">
        <f t="shared" si="9"/>
        <v>4510</v>
      </c>
      <c r="G21" s="188" t="s">
        <v>956</v>
      </c>
      <c r="H21" s="163">
        <f t="shared" si="10"/>
        <v>4510</v>
      </c>
      <c r="I21" s="188" t="s">
        <v>950</v>
      </c>
      <c r="J21" s="159"/>
      <c r="K21" s="164">
        <f t="shared" si="11"/>
        <v>4510</v>
      </c>
      <c r="L21" s="164"/>
      <c r="M21" s="165">
        <v>4500</v>
      </c>
      <c r="N21" s="164">
        <v>10</v>
      </c>
      <c r="O21" s="166"/>
      <c r="P21" s="164"/>
      <c r="Q21" s="188" t="s">
        <v>953</v>
      </c>
      <c r="R21" s="188"/>
    </row>
    <row r="22" spans="1:18" ht="46.8" x14ac:dyDescent="0.3">
      <c r="A22" s="281" t="s">
        <v>449</v>
      </c>
      <c r="B22" s="55" t="s">
        <v>330</v>
      </c>
      <c r="C22" s="52" t="s">
        <v>304</v>
      </c>
      <c r="D22" s="98">
        <v>1</v>
      </c>
      <c r="E22" s="222">
        <f t="shared" si="8"/>
        <v>510</v>
      </c>
      <c r="F22" s="222">
        <f t="shared" si="9"/>
        <v>510</v>
      </c>
      <c r="G22" s="188" t="s">
        <v>956</v>
      </c>
      <c r="H22" s="163">
        <f t="shared" si="10"/>
        <v>510</v>
      </c>
      <c r="I22" s="188" t="s">
        <v>950</v>
      </c>
      <c r="J22" s="159"/>
      <c r="K22" s="164">
        <f t="shared" si="11"/>
        <v>510</v>
      </c>
      <c r="L22" s="164"/>
      <c r="M22" s="165">
        <v>500</v>
      </c>
      <c r="N22" s="164">
        <v>10</v>
      </c>
      <c r="O22" s="166"/>
      <c r="P22" s="164"/>
      <c r="Q22" s="188" t="s">
        <v>954</v>
      </c>
      <c r="R22" s="188"/>
    </row>
    <row r="23" spans="1:18" ht="15.6" x14ac:dyDescent="0.3">
      <c r="A23" s="281" t="s">
        <v>450</v>
      </c>
      <c r="B23" s="55" t="s">
        <v>329</v>
      </c>
      <c r="C23" s="52" t="s">
        <v>10</v>
      </c>
      <c r="D23" s="98">
        <v>1</v>
      </c>
      <c r="E23" s="222">
        <f t="shared" si="8"/>
        <v>14000</v>
      </c>
      <c r="F23" s="222">
        <f t="shared" si="9"/>
        <v>14000</v>
      </c>
      <c r="G23" s="188" t="s">
        <v>956</v>
      </c>
      <c r="H23" s="163">
        <f t="shared" si="10"/>
        <v>14000</v>
      </c>
      <c r="I23" s="188" t="s">
        <v>1018</v>
      </c>
      <c r="J23" s="159"/>
      <c r="K23" s="164">
        <f t="shared" si="11"/>
        <v>14000</v>
      </c>
      <c r="L23" s="164"/>
      <c r="M23" s="165">
        <v>14000</v>
      </c>
      <c r="N23" s="164"/>
      <c r="O23" s="166"/>
      <c r="P23" s="164"/>
      <c r="Q23" s="188" t="s">
        <v>955</v>
      </c>
      <c r="R23" s="188"/>
    </row>
    <row r="24" spans="1:18" ht="15.6" x14ac:dyDescent="0.3">
      <c r="A24" s="252"/>
      <c r="B24" s="55"/>
      <c r="C24" s="52"/>
      <c r="D24" s="49"/>
      <c r="E24" s="50"/>
      <c r="F24" s="184"/>
      <c r="G24" s="188"/>
      <c r="H24" s="163">
        <f t="shared" si="10"/>
        <v>0</v>
      </c>
      <c r="I24" s="188"/>
      <c r="J24" s="159"/>
      <c r="K24" s="164">
        <f t="shared" si="11"/>
        <v>0</v>
      </c>
      <c r="L24" s="164"/>
      <c r="M24" s="165"/>
      <c r="N24" s="164"/>
      <c r="O24" s="166"/>
      <c r="P24" s="164"/>
      <c r="Q24" s="188"/>
      <c r="R24" s="188"/>
    </row>
    <row r="25" spans="1:18" ht="15.6" x14ac:dyDescent="0.3">
      <c r="A25" s="252"/>
      <c r="B25" s="55"/>
      <c r="C25" s="52"/>
      <c r="D25" s="49"/>
      <c r="E25" s="50"/>
      <c r="F25" s="184"/>
      <c r="G25" s="180"/>
      <c r="H25" s="178"/>
      <c r="I25" s="178"/>
      <c r="J25" s="178"/>
      <c r="K25" s="178"/>
      <c r="L25" s="178"/>
      <c r="M25" s="218"/>
      <c r="N25" s="218"/>
      <c r="O25" s="218"/>
      <c r="P25" s="218"/>
      <c r="Q25" s="178"/>
      <c r="R25" s="178"/>
    </row>
    <row r="26" spans="1:18" ht="15.6" x14ac:dyDescent="0.3">
      <c r="A26" s="282">
        <v>16.190000000000001</v>
      </c>
      <c r="B26" s="57" t="s">
        <v>163</v>
      </c>
      <c r="C26" s="52"/>
      <c r="D26" s="49"/>
      <c r="E26" s="50"/>
      <c r="F26" s="184"/>
      <c r="G26" s="189" t="s">
        <v>579</v>
      </c>
      <c r="H26" s="189"/>
      <c r="I26" s="189"/>
      <c r="J26" s="189"/>
      <c r="K26" s="238"/>
      <c r="L26" s="239"/>
      <c r="M26" s="239"/>
      <c r="N26" s="189"/>
      <c r="O26" s="189"/>
      <c r="P26" s="189"/>
      <c r="Q26" s="189"/>
      <c r="R26" s="189"/>
    </row>
    <row r="27" spans="1:18" ht="46.8" x14ac:dyDescent="0.3">
      <c r="A27" s="282"/>
      <c r="B27" s="51" t="s">
        <v>164</v>
      </c>
      <c r="C27" s="52"/>
      <c r="D27" s="49"/>
      <c r="E27" s="50"/>
      <c r="F27" s="184"/>
      <c r="G27" s="180"/>
      <c r="H27" s="178"/>
      <c r="I27" s="178"/>
      <c r="J27" s="178"/>
      <c r="K27" s="178"/>
      <c r="L27" s="178"/>
      <c r="M27" s="218"/>
      <c r="N27" s="218"/>
      <c r="O27" s="218"/>
      <c r="P27" s="218"/>
      <c r="Q27" s="236"/>
      <c r="R27" s="178"/>
    </row>
    <row r="28" spans="1:18" ht="15.6" x14ac:dyDescent="0.3">
      <c r="A28" s="283" t="s">
        <v>451</v>
      </c>
      <c r="B28" s="56" t="s">
        <v>351</v>
      </c>
      <c r="C28" s="63" t="s">
        <v>304</v>
      </c>
      <c r="D28" s="98">
        <v>6</v>
      </c>
      <c r="E28" s="222">
        <f t="shared" ref="E28:E41" si="12">ROUNDUP(H28*$J$2,0)</f>
        <v>5320</v>
      </c>
      <c r="F28" s="222">
        <f t="shared" ref="F28:F41" si="13">D28*E28</f>
        <v>31920</v>
      </c>
      <c r="G28" s="188" t="s">
        <v>578</v>
      </c>
      <c r="H28" s="163">
        <f t="shared" ref="H28:H41" si="14">K28</f>
        <v>5320</v>
      </c>
      <c r="I28" s="188" t="s">
        <v>577</v>
      </c>
      <c r="J28" s="159"/>
      <c r="K28" s="164">
        <f t="shared" ref="K28:K40" si="15">L28+M28+N28+O28+P28</f>
        <v>5320</v>
      </c>
      <c r="L28" s="164"/>
      <c r="M28" s="165">
        <v>5200</v>
      </c>
      <c r="N28" s="164">
        <v>100</v>
      </c>
      <c r="O28" s="166"/>
      <c r="P28" s="164">
        <v>20</v>
      </c>
      <c r="Q28" s="188" t="s">
        <v>973</v>
      </c>
      <c r="R28" s="188" t="s">
        <v>936</v>
      </c>
    </row>
    <row r="29" spans="1:18" ht="15.6" x14ac:dyDescent="0.3">
      <c r="A29" s="283" t="s">
        <v>452</v>
      </c>
      <c r="B29" s="56" t="s">
        <v>352</v>
      </c>
      <c r="C29" s="63" t="s">
        <v>304</v>
      </c>
      <c r="D29" s="98">
        <v>6</v>
      </c>
      <c r="E29" s="222">
        <f t="shared" si="12"/>
        <v>985</v>
      </c>
      <c r="F29" s="222">
        <f t="shared" si="13"/>
        <v>5910</v>
      </c>
      <c r="G29" s="188" t="s">
        <v>578</v>
      </c>
      <c r="H29" s="163">
        <f t="shared" si="14"/>
        <v>985</v>
      </c>
      <c r="I29" s="188" t="s">
        <v>1020</v>
      </c>
      <c r="J29" s="159"/>
      <c r="K29" s="164">
        <f t="shared" si="15"/>
        <v>985</v>
      </c>
      <c r="L29" s="164"/>
      <c r="M29" s="165">
        <v>975</v>
      </c>
      <c r="N29" s="164">
        <v>5</v>
      </c>
      <c r="O29" s="166"/>
      <c r="P29" s="164">
        <v>5</v>
      </c>
      <c r="Q29" s="188" t="s">
        <v>974</v>
      </c>
      <c r="R29" s="188" t="s">
        <v>937</v>
      </c>
    </row>
    <row r="30" spans="1:18" ht="22.8" x14ac:dyDescent="0.3">
      <c r="A30" s="283" t="s">
        <v>453</v>
      </c>
      <c r="B30" s="56" t="s">
        <v>326</v>
      </c>
      <c r="C30" s="63" t="s">
        <v>304</v>
      </c>
      <c r="D30" s="98">
        <v>2</v>
      </c>
      <c r="E30" s="222">
        <f t="shared" si="12"/>
        <v>4970</v>
      </c>
      <c r="F30" s="222">
        <f t="shared" si="13"/>
        <v>9940</v>
      </c>
      <c r="G30" s="188" t="s">
        <v>578</v>
      </c>
      <c r="H30" s="163">
        <f t="shared" si="14"/>
        <v>4970</v>
      </c>
      <c r="I30" s="188" t="s">
        <v>577</v>
      </c>
      <c r="J30" s="159"/>
      <c r="K30" s="164">
        <f t="shared" si="15"/>
        <v>4970</v>
      </c>
      <c r="L30" s="164"/>
      <c r="M30" s="165">
        <v>4850</v>
      </c>
      <c r="N30" s="164">
        <v>100</v>
      </c>
      <c r="O30" s="166"/>
      <c r="P30" s="164">
        <v>20</v>
      </c>
      <c r="Q30" s="188" t="s">
        <v>975</v>
      </c>
      <c r="R30" s="188" t="s">
        <v>938</v>
      </c>
    </row>
    <row r="31" spans="1:18" ht="15.6" x14ac:dyDescent="0.3">
      <c r="A31" s="283" t="s">
        <v>454</v>
      </c>
      <c r="B31" s="56" t="s">
        <v>320</v>
      </c>
      <c r="C31" s="63" t="s">
        <v>304</v>
      </c>
      <c r="D31" s="98">
        <v>2</v>
      </c>
      <c r="E31" s="222">
        <f t="shared" si="12"/>
        <v>985</v>
      </c>
      <c r="F31" s="222">
        <f t="shared" si="13"/>
        <v>1970</v>
      </c>
      <c r="G31" s="188" t="s">
        <v>578</v>
      </c>
      <c r="H31" s="163">
        <f t="shared" si="14"/>
        <v>985</v>
      </c>
      <c r="I31" s="188" t="s">
        <v>1020</v>
      </c>
      <c r="J31" s="159"/>
      <c r="K31" s="164">
        <f t="shared" si="15"/>
        <v>985</v>
      </c>
      <c r="L31" s="164"/>
      <c r="M31" s="165">
        <v>975</v>
      </c>
      <c r="N31" s="164">
        <v>5</v>
      </c>
      <c r="O31" s="166"/>
      <c r="P31" s="164">
        <v>5</v>
      </c>
      <c r="Q31" s="188" t="s">
        <v>976</v>
      </c>
      <c r="R31" s="188" t="s">
        <v>939</v>
      </c>
    </row>
    <row r="32" spans="1:18" ht="15.6" x14ac:dyDescent="0.3">
      <c r="A32" s="283" t="s">
        <v>455</v>
      </c>
      <c r="B32" s="56" t="s">
        <v>325</v>
      </c>
      <c r="C32" s="63" t="s">
        <v>304</v>
      </c>
      <c r="D32" s="98">
        <v>2</v>
      </c>
      <c r="E32" s="222">
        <f t="shared" si="12"/>
        <v>4770</v>
      </c>
      <c r="F32" s="222">
        <f t="shared" si="13"/>
        <v>9540</v>
      </c>
      <c r="G32" s="188" t="s">
        <v>578</v>
      </c>
      <c r="H32" s="163">
        <f t="shared" si="14"/>
        <v>4770</v>
      </c>
      <c r="I32" s="188" t="s">
        <v>577</v>
      </c>
      <c r="J32" s="159"/>
      <c r="K32" s="164">
        <f t="shared" si="15"/>
        <v>4770</v>
      </c>
      <c r="L32" s="164"/>
      <c r="M32" s="165">
        <v>4650</v>
      </c>
      <c r="N32" s="164">
        <v>100</v>
      </c>
      <c r="O32" s="166"/>
      <c r="P32" s="164">
        <v>20</v>
      </c>
      <c r="Q32" s="188" t="s">
        <v>977</v>
      </c>
      <c r="R32" s="188" t="s">
        <v>940</v>
      </c>
    </row>
    <row r="33" spans="1:18" ht="15.6" x14ac:dyDescent="0.3">
      <c r="A33" s="283" t="s">
        <v>456</v>
      </c>
      <c r="B33" s="56" t="s">
        <v>320</v>
      </c>
      <c r="C33" s="63" t="s">
        <v>304</v>
      </c>
      <c r="D33" s="98">
        <v>2</v>
      </c>
      <c r="E33" s="222">
        <f t="shared" si="12"/>
        <v>985</v>
      </c>
      <c r="F33" s="222">
        <f t="shared" si="13"/>
        <v>1970</v>
      </c>
      <c r="G33" s="188" t="s">
        <v>578</v>
      </c>
      <c r="H33" s="163">
        <f t="shared" si="14"/>
        <v>985</v>
      </c>
      <c r="I33" s="188" t="s">
        <v>1020</v>
      </c>
      <c r="J33" s="159"/>
      <c r="K33" s="164">
        <f t="shared" si="15"/>
        <v>985</v>
      </c>
      <c r="L33" s="164"/>
      <c r="M33" s="165">
        <v>975</v>
      </c>
      <c r="N33" s="164">
        <v>5</v>
      </c>
      <c r="O33" s="166"/>
      <c r="P33" s="164">
        <v>5</v>
      </c>
      <c r="Q33" s="188" t="s">
        <v>978</v>
      </c>
      <c r="R33" s="188" t="s">
        <v>941</v>
      </c>
    </row>
    <row r="34" spans="1:18" ht="34.200000000000003" x14ac:dyDescent="0.3">
      <c r="A34" s="283" t="s">
        <v>457</v>
      </c>
      <c r="B34" s="65" t="s">
        <v>324</v>
      </c>
      <c r="C34" s="63" t="s">
        <v>304</v>
      </c>
      <c r="D34" s="98">
        <v>7</v>
      </c>
      <c r="E34" s="222">
        <f t="shared" si="12"/>
        <v>1005</v>
      </c>
      <c r="F34" s="222">
        <f t="shared" si="13"/>
        <v>7035</v>
      </c>
      <c r="G34" s="188" t="s">
        <v>578</v>
      </c>
      <c r="H34" s="163">
        <f t="shared" si="14"/>
        <v>1005</v>
      </c>
      <c r="I34" s="188" t="s">
        <v>577</v>
      </c>
      <c r="J34" s="159"/>
      <c r="K34" s="164">
        <f t="shared" si="15"/>
        <v>1005</v>
      </c>
      <c r="L34" s="164"/>
      <c r="M34" s="165">
        <v>800</v>
      </c>
      <c r="N34" s="164">
        <v>5</v>
      </c>
      <c r="O34" s="166"/>
      <c r="P34" s="164">
        <v>200</v>
      </c>
      <c r="Q34" s="188" t="s">
        <v>979</v>
      </c>
      <c r="R34" s="188" t="s">
        <v>942</v>
      </c>
    </row>
    <row r="35" spans="1:18" ht="15.6" x14ac:dyDescent="0.3">
      <c r="A35" s="283" t="s">
        <v>458</v>
      </c>
      <c r="B35" s="56" t="s">
        <v>323</v>
      </c>
      <c r="C35" s="63" t="s">
        <v>304</v>
      </c>
      <c r="D35" s="98">
        <v>31</v>
      </c>
      <c r="E35" s="222">
        <f t="shared" si="12"/>
        <v>2460</v>
      </c>
      <c r="F35" s="222">
        <f t="shared" si="13"/>
        <v>76260</v>
      </c>
      <c r="G35" s="188" t="s">
        <v>578</v>
      </c>
      <c r="H35" s="163">
        <f t="shared" si="14"/>
        <v>2460</v>
      </c>
      <c r="I35" s="188" t="s">
        <v>1019</v>
      </c>
      <c r="J35" s="159"/>
      <c r="K35" s="164">
        <f t="shared" si="15"/>
        <v>2460</v>
      </c>
      <c r="L35" s="164"/>
      <c r="M35" s="165">
        <v>2450</v>
      </c>
      <c r="N35" s="164">
        <v>5</v>
      </c>
      <c r="O35" s="166"/>
      <c r="P35" s="164">
        <v>5</v>
      </c>
      <c r="Q35" s="188" t="s">
        <v>980</v>
      </c>
      <c r="R35" s="188" t="s">
        <v>943</v>
      </c>
    </row>
    <row r="36" spans="1:18" ht="15.6" x14ac:dyDescent="0.3">
      <c r="A36" s="283" t="s">
        <v>459</v>
      </c>
      <c r="B36" s="56" t="s">
        <v>322</v>
      </c>
      <c r="C36" s="63" t="s">
        <v>304</v>
      </c>
      <c r="D36" s="98">
        <v>1</v>
      </c>
      <c r="E36" s="222">
        <f t="shared" si="12"/>
        <v>4970</v>
      </c>
      <c r="F36" s="222">
        <f t="shared" si="13"/>
        <v>4970</v>
      </c>
      <c r="G36" s="188" t="s">
        <v>578</v>
      </c>
      <c r="H36" s="163">
        <f t="shared" si="14"/>
        <v>4970</v>
      </c>
      <c r="I36" s="188" t="s">
        <v>577</v>
      </c>
      <c r="J36" s="159"/>
      <c r="K36" s="164">
        <f t="shared" si="15"/>
        <v>4970</v>
      </c>
      <c r="L36" s="164"/>
      <c r="M36" s="165">
        <v>4850</v>
      </c>
      <c r="N36" s="164">
        <v>100</v>
      </c>
      <c r="O36" s="166"/>
      <c r="P36" s="164">
        <v>20</v>
      </c>
      <c r="Q36" s="188" t="s">
        <v>981</v>
      </c>
      <c r="R36" s="188" t="s">
        <v>944</v>
      </c>
    </row>
    <row r="37" spans="1:18" ht="15.6" x14ac:dyDescent="0.3">
      <c r="A37" s="283" t="s">
        <v>460</v>
      </c>
      <c r="B37" s="56" t="s">
        <v>320</v>
      </c>
      <c r="C37" s="63" t="s">
        <v>304</v>
      </c>
      <c r="D37" s="98">
        <v>1</v>
      </c>
      <c r="E37" s="222">
        <f t="shared" si="12"/>
        <v>1000</v>
      </c>
      <c r="F37" s="222">
        <f t="shared" si="13"/>
        <v>1000</v>
      </c>
      <c r="G37" s="188" t="s">
        <v>578</v>
      </c>
      <c r="H37" s="163">
        <f t="shared" si="14"/>
        <v>1000</v>
      </c>
      <c r="I37" s="188" t="s">
        <v>577</v>
      </c>
      <c r="J37" s="159"/>
      <c r="K37" s="164">
        <f t="shared" si="15"/>
        <v>1000</v>
      </c>
      <c r="L37" s="164"/>
      <c r="M37" s="165">
        <v>975</v>
      </c>
      <c r="N37" s="164">
        <v>5</v>
      </c>
      <c r="O37" s="166"/>
      <c r="P37" s="164">
        <v>20</v>
      </c>
      <c r="Q37" s="188" t="s">
        <v>982</v>
      </c>
      <c r="R37" s="188" t="s">
        <v>945</v>
      </c>
    </row>
    <row r="38" spans="1:18" ht="15.6" x14ac:dyDescent="0.3">
      <c r="A38" s="283" t="s">
        <v>461</v>
      </c>
      <c r="B38" s="56" t="s">
        <v>321</v>
      </c>
      <c r="C38" s="63" t="s">
        <v>304</v>
      </c>
      <c r="D38" s="98">
        <v>1</v>
      </c>
      <c r="E38" s="222">
        <f t="shared" si="12"/>
        <v>4970</v>
      </c>
      <c r="F38" s="222">
        <f t="shared" si="13"/>
        <v>4970</v>
      </c>
      <c r="G38" s="188" t="s">
        <v>578</v>
      </c>
      <c r="H38" s="163">
        <f t="shared" si="14"/>
        <v>4970</v>
      </c>
      <c r="I38" s="188" t="s">
        <v>577</v>
      </c>
      <c r="J38" s="159"/>
      <c r="K38" s="164">
        <f t="shared" si="15"/>
        <v>4970</v>
      </c>
      <c r="L38" s="164"/>
      <c r="M38" s="165">
        <v>4850</v>
      </c>
      <c r="N38" s="164">
        <v>100</v>
      </c>
      <c r="O38" s="166"/>
      <c r="P38" s="164">
        <v>20</v>
      </c>
      <c r="Q38" s="188" t="s">
        <v>983</v>
      </c>
      <c r="R38" s="188" t="s">
        <v>946</v>
      </c>
    </row>
    <row r="39" spans="1:18" ht="15.6" x14ac:dyDescent="0.3">
      <c r="A39" s="283" t="s">
        <v>462</v>
      </c>
      <c r="B39" s="56" t="s">
        <v>320</v>
      </c>
      <c r="C39" s="63" t="s">
        <v>304</v>
      </c>
      <c r="D39" s="98">
        <v>1</v>
      </c>
      <c r="E39" s="222">
        <f t="shared" si="12"/>
        <v>985</v>
      </c>
      <c r="F39" s="222">
        <f t="shared" si="13"/>
        <v>985</v>
      </c>
      <c r="G39" s="188" t="s">
        <v>578</v>
      </c>
      <c r="H39" s="163">
        <f t="shared" si="14"/>
        <v>985</v>
      </c>
      <c r="I39" s="188" t="s">
        <v>577</v>
      </c>
      <c r="J39" s="159"/>
      <c r="K39" s="164">
        <f t="shared" si="15"/>
        <v>985</v>
      </c>
      <c r="L39" s="164"/>
      <c r="M39" s="165">
        <v>975</v>
      </c>
      <c r="N39" s="164">
        <v>5</v>
      </c>
      <c r="O39" s="166"/>
      <c r="P39" s="164">
        <v>5</v>
      </c>
      <c r="Q39" s="188" t="s">
        <v>984</v>
      </c>
      <c r="R39" s="188" t="s">
        <v>947</v>
      </c>
    </row>
    <row r="40" spans="1:18" ht="22.8" x14ac:dyDescent="0.3">
      <c r="A40" s="283" t="s">
        <v>463</v>
      </c>
      <c r="B40" s="56" t="s">
        <v>319</v>
      </c>
      <c r="C40" s="63" t="s">
        <v>45</v>
      </c>
      <c r="D40" s="98">
        <v>1</v>
      </c>
      <c r="E40" s="222">
        <f t="shared" si="12"/>
        <v>25000</v>
      </c>
      <c r="F40" s="222">
        <f t="shared" si="13"/>
        <v>25000</v>
      </c>
      <c r="G40" s="188" t="s">
        <v>578</v>
      </c>
      <c r="H40" s="163">
        <f t="shared" si="14"/>
        <v>25000</v>
      </c>
      <c r="I40" s="188" t="s">
        <v>1021</v>
      </c>
      <c r="J40" s="159"/>
      <c r="K40" s="164">
        <f t="shared" si="15"/>
        <v>25000</v>
      </c>
      <c r="L40" s="164"/>
      <c r="M40" s="165">
        <v>25000</v>
      </c>
      <c r="N40" s="164"/>
      <c r="O40" s="166"/>
      <c r="P40" s="164"/>
      <c r="Q40" s="188" t="s">
        <v>985</v>
      </c>
      <c r="R40" s="188" t="s">
        <v>948</v>
      </c>
    </row>
    <row r="41" spans="1:18" ht="15.6" x14ac:dyDescent="0.3">
      <c r="A41" s="283" t="s">
        <v>464</v>
      </c>
      <c r="B41" s="56" t="s">
        <v>318</v>
      </c>
      <c r="C41" s="63" t="s">
        <v>317</v>
      </c>
      <c r="D41" s="98">
        <v>1</v>
      </c>
      <c r="E41" s="222">
        <f t="shared" si="12"/>
        <v>15000</v>
      </c>
      <c r="F41" s="222">
        <f t="shared" si="13"/>
        <v>15000</v>
      </c>
      <c r="G41" s="188" t="s">
        <v>578</v>
      </c>
      <c r="H41" s="163">
        <f t="shared" si="14"/>
        <v>15000</v>
      </c>
      <c r="I41" s="188" t="s">
        <v>1018</v>
      </c>
      <c r="J41" s="159"/>
      <c r="K41" s="164">
        <v>15000</v>
      </c>
      <c r="L41" s="164"/>
      <c r="M41" s="165"/>
      <c r="N41" s="164"/>
      <c r="O41" s="166"/>
      <c r="P41" s="164"/>
      <c r="Q41" s="188" t="s">
        <v>986</v>
      </c>
      <c r="R41" s="188" t="s">
        <v>949</v>
      </c>
    </row>
    <row r="42" spans="1:18" ht="15.6" x14ac:dyDescent="0.3">
      <c r="A42" s="253"/>
      <c r="B42" s="56"/>
      <c r="C42" s="63"/>
      <c r="D42" s="63"/>
      <c r="E42" s="50"/>
      <c r="F42" s="184"/>
      <c r="G42" s="180"/>
      <c r="H42" s="178"/>
      <c r="I42" s="178"/>
      <c r="J42" s="178"/>
      <c r="K42" s="178"/>
      <c r="L42" s="178"/>
      <c r="M42" s="218"/>
      <c r="N42" s="218"/>
      <c r="O42" s="218"/>
      <c r="P42" s="218"/>
      <c r="Q42" s="178"/>
      <c r="R42" s="178"/>
    </row>
    <row r="43" spans="1:18" ht="15.6" x14ac:dyDescent="0.3">
      <c r="A43" s="284">
        <v>16.2</v>
      </c>
      <c r="B43" s="70" t="s">
        <v>241</v>
      </c>
      <c r="C43" s="71"/>
      <c r="D43" s="72"/>
      <c r="E43" s="73"/>
      <c r="F43" s="185"/>
      <c r="G43" s="189" t="s">
        <v>580</v>
      </c>
      <c r="H43" s="189"/>
      <c r="I43" s="189"/>
      <c r="J43" s="189"/>
      <c r="K43" s="238"/>
      <c r="L43" s="239"/>
      <c r="M43" s="239"/>
      <c r="N43" s="189"/>
      <c r="O43" s="189"/>
      <c r="P43" s="189"/>
      <c r="Q43" s="189"/>
      <c r="R43" s="189"/>
    </row>
    <row r="44" spans="1:18" ht="46.8" x14ac:dyDescent="0.3">
      <c r="A44" s="285"/>
      <c r="B44" s="51" t="s">
        <v>242</v>
      </c>
      <c r="C44" s="44"/>
      <c r="D44" s="74"/>
      <c r="E44" s="45"/>
      <c r="F44" s="184"/>
      <c r="G44" s="180"/>
      <c r="H44" s="178"/>
      <c r="I44" s="178"/>
      <c r="J44" s="178"/>
      <c r="K44" s="178"/>
      <c r="L44" s="178"/>
      <c r="M44" s="218"/>
      <c r="N44" s="218"/>
      <c r="O44" s="218"/>
      <c r="P44" s="218"/>
      <c r="Q44" s="178"/>
      <c r="R44" s="178"/>
    </row>
    <row r="45" spans="1:18" ht="62.4" x14ac:dyDescent="0.3">
      <c r="A45" s="286" t="s">
        <v>465</v>
      </c>
      <c r="B45" s="55" t="s">
        <v>313</v>
      </c>
      <c r="C45" s="52" t="s">
        <v>304</v>
      </c>
      <c r="D45" s="98">
        <v>3</v>
      </c>
      <c r="E45" s="222">
        <f t="shared" ref="E45:E54" si="16">ROUNDUP(H45*$J$2,0)</f>
        <v>6150</v>
      </c>
      <c r="F45" s="222">
        <f t="shared" ref="F45:F54" si="17">D45*E45</f>
        <v>18450</v>
      </c>
      <c r="G45" s="188" t="s">
        <v>882</v>
      </c>
      <c r="H45" s="163">
        <f t="shared" ref="H45:H53" si="18">K45</f>
        <v>6150</v>
      </c>
      <c r="I45" s="188" t="s">
        <v>884</v>
      </c>
      <c r="J45" s="159"/>
      <c r="K45" s="242">
        <f t="shared" ref="K45:K52" si="19">L45+M45+N45+O45+P45</f>
        <v>6150</v>
      </c>
      <c r="L45" s="164"/>
      <c r="M45" s="165">
        <v>5300</v>
      </c>
      <c r="N45" s="164">
        <v>50</v>
      </c>
      <c r="O45" s="166">
        <v>600</v>
      </c>
      <c r="P45" s="164">
        <v>200</v>
      </c>
      <c r="Q45" s="188"/>
      <c r="R45" s="188" t="s">
        <v>885</v>
      </c>
    </row>
    <row r="46" spans="1:18" ht="15.6" x14ac:dyDescent="0.3">
      <c r="A46" s="286" t="s">
        <v>466</v>
      </c>
      <c r="B46" s="55" t="s">
        <v>312</v>
      </c>
      <c r="C46" s="52" t="s">
        <v>304</v>
      </c>
      <c r="D46" s="98">
        <v>5</v>
      </c>
      <c r="E46" s="222">
        <f t="shared" si="16"/>
        <v>2065</v>
      </c>
      <c r="F46" s="222">
        <f t="shared" si="17"/>
        <v>10325</v>
      </c>
      <c r="G46" s="188" t="s">
        <v>882</v>
      </c>
      <c r="H46" s="163">
        <f t="shared" si="18"/>
        <v>2065</v>
      </c>
      <c r="I46" s="188" t="s">
        <v>1053</v>
      </c>
      <c r="J46" s="159"/>
      <c r="K46" s="242">
        <f t="shared" si="19"/>
        <v>2065</v>
      </c>
      <c r="L46" s="164"/>
      <c r="M46" s="165">
        <v>1850</v>
      </c>
      <c r="N46" s="164">
        <v>5</v>
      </c>
      <c r="O46" s="166">
        <v>200</v>
      </c>
      <c r="P46" s="164">
        <v>10</v>
      </c>
      <c r="Q46" s="188"/>
      <c r="R46" s="188" t="s">
        <v>886</v>
      </c>
    </row>
    <row r="47" spans="1:18" ht="15.6" x14ac:dyDescent="0.3">
      <c r="A47" s="286" t="s">
        <v>467</v>
      </c>
      <c r="B47" s="55" t="s">
        <v>311</v>
      </c>
      <c r="C47" s="52" t="s">
        <v>304</v>
      </c>
      <c r="D47" s="98">
        <v>5</v>
      </c>
      <c r="E47" s="222">
        <f t="shared" si="16"/>
        <v>1615</v>
      </c>
      <c r="F47" s="222">
        <f t="shared" si="17"/>
        <v>8075</v>
      </c>
      <c r="G47" s="188" t="s">
        <v>882</v>
      </c>
      <c r="H47" s="163">
        <f t="shared" si="18"/>
        <v>1615</v>
      </c>
      <c r="I47" s="188" t="s">
        <v>1053</v>
      </c>
      <c r="J47" s="159"/>
      <c r="K47" s="242">
        <f t="shared" si="19"/>
        <v>1615</v>
      </c>
      <c r="L47" s="164"/>
      <c r="M47" s="165">
        <v>1450</v>
      </c>
      <c r="N47" s="164">
        <v>5</v>
      </c>
      <c r="O47" s="166">
        <v>150</v>
      </c>
      <c r="P47" s="164">
        <v>10</v>
      </c>
      <c r="Q47" s="188"/>
      <c r="R47" s="188" t="s">
        <v>886</v>
      </c>
    </row>
    <row r="48" spans="1:18" ht="31.2" x14ac:dyDescent="0.3">
      <c r="A48" s="286" t="s">
        <v>468</v>
      </c>
      <c r="B48" s="55" t="s">
        <v>310</v>
      </c>
      <c r="C48" s="52" t="s">
        <v>304</v>
      </c>
      <c r="D48" s="98">
        <v>5</v>
      </c>
      <c r="E48" s="222">
        <f t="shared" si="16"/>
        <v>915</v>
      </c>
      <c r="F48" s="222">
        <f t="shared" si="17"/>
        <v>4575</v>
      </c>
      <c r="G48" s="188" t="s">
        <v>882</v>
      </c>
      <c r="H48" s="163">
        <f t="shared" si="18"/>
        <v>915</v>
      </c>
      <c r="I48" s="188" t="s">
        <v>1054</v>
      </c>
      <c r="J48" s="159"/>
      <c r="K48" s="242">
        <f t="shared" si="19"/>
        <v>915</v>
      </c>
      <c r="L48" s="164"/>
      <c r="M48" s="165">
        <v>875</v>
      </c>
      <c r="N48" s="164">
        <v>5</v>
      </c>
      <c r="O48" s="166">
        <v>25</v>
      </c>
      <c r="P48" s="164">
        <v>10</v>
      </c>
      <c r="Q48" s="188"/>
      <c r="R48" s="188" t="s">
        <v>886</v>
      </c>
    </row>
    <row r="49" spans="1:18" ht="46.8" x14ac:dyDescent="0.3">
      <c r="A49" s="286" t="s">
        <v>469</v>
      </c>
      <c r="B49" s="55" t="s">
        <v>309</v>
      </c>
      <c r="C49" s="52" t="s">
        <v>304</v>
      </c>
      <c r="D49" s="98">
        <v>4</v>
      </c>
      <c r="E49" s="222">
        <f t="shared" si="16"/>
        <v>1665</v>
      </c>
      <c r="F49" s="222">
        <f t="shared" si="17"/>
        <v>6660</v>
      </c>
      <c r="G49" s="188" t="s">
        <v>882</v>
      </c>
      <c r="H49" s="163">
        <f t="shared" si="18"/>
        <v>1665</v>
      </c>
      <c r="I49" s="188" t="s">
        <v>884</v>
      </c>
      <c r="J49" s="159"/>
      <c r="K49" s="242">
        <f t="shared" si="19"/>
        <v>1665</v>
      </c>
      <c r="L49" s="164"/>
      <c r="M49" s="165">
        <v>1500</v>
      </c>
      <c r="N49" s="164">
        <v>5</v>
      </c>
      <c r="O49" s="166">
        <v>150</v>
      </c>
      <c r="P49" s="164">
        <v>10</v>
      </c>
      <c r="Q49" s="188"/>
      <c r="R49" s="188" t="s">
        <v>887</v>
      </c>
    </row>
    <row r="50" spans="1:18" ht="31.2" x14ac:dyDescent="0.3">
      <c r="A50" s="286" t="s">
        <v>470</v>
      </c>
      <c r="B50" s="55" t="s">
        <v>308</v>
      </c>
      <c r="C50" s="52" t="s">
        <v>304</v>
      </c>
      <c r="D50" s="98">
        <v>5</v>
      </c>
      <c r="E50" s="222">
        <f t="shared" si="16"/>
        <v>1165</v>
      </c>
      <c r="F50" s="222">
        <f t="shared" si="17"/>
        <v>5825</v>
      </c>
      <c r="G50" s="188" t="s">
        <v>882</v>
      </c>
      <c r="H50" s="163">
        <f t="shared" si="18"/>
        <v>1165</v>
      </c>
      <c r="I50" s="188" t="s">
        <v>884</v>
      </c>
      <c r="J50" s="159"/>
      <c r="K50" s="242">
        <f t="shared" si="19"/>
        <v>1165</v>
      </c>
      <c r="L50" s="164"/>
      <c r="M50" s="165">
        <v>1000</v>
      </c>
      <c r="N50" s="164">
        <v>5</v>
      </c>
      <c r="O50" s="166">
        <v>150</v>
      </c>
      <c r="P50" s="164">
        <v>10</v>
      </c>
      <c r="Q50" s="188"/>
      <c r="R50" s="188" t="s">
        <v>887</v>
      </c>
    </row>
    <row r="51" spans="1:18" ht="15.6" x14ac:dyDescent="0.3">
      <c r="A51" s="286" t="s">
        <v>471</v>
      </c>
      <c r="B51" s="55" t="s">
        <v>307</v>
      </c>
      <c r="C51" s="52" t="s">
        <v>304</v>
      </c>
      <c r="D51" s="98">
        <v>4</v>
      </c>
      <c r="E51" s="222">
        <f t="shared" si="16"/>
        <v>495</v>
      </c>
      <c r="F51" s="222">
        <f t="shared" si="17"/>
        <v>1980</v>
      </c>
      <c r="G51" s="188" t="s">
        <v>882</v>
      </c>
      <c r="H51" s="163">
        <f t="shared" si="18"/>
        <v>495</v>
      </c>
      <c r="I51" s="188" t="s">
        <v>1055</v>
      </c>
      <c r="J51" s="159"/>
      <c r="K51" s="242">
        <f t="shared" si="19"/>
        <v>495</v>
      </c>
      <c r="L51" s="164"/>
      <c r="M51" s="165">
        <v>430</v>
      </c>
      <c r="N51" s="164">
        <v>5</v>
      </c>
      <c r="O51" s="166">
        <v>50</v>
      </c>
      <c r="P51" s="164">
        <v>10</v>
      </c>
      <c r="Q51" s="188"/>
      <c r="R51" s="188" t="s">
        <v>888</v>
      </c>
    </row>
    <row r="52" spans="1:18" ht="15.6" x14ac:dyDescent="0.3">
      <c r="A52" s="286" t="s">
        <v>472</v>
      </c>
      <c r="B52" s="55" t="s">
        <v>306</v>
      </c>
      <c r="C52" s="52" t="s">
        <v>304</v>
      </c>
      <c r="D52" s="98">
        <v>3</v>
      </c>
      <c r="E52" s="222">
        <f t="shared" si="16"/>
        <v>420</v>
      </c>
      <c r="F52" s="222">
        <f t="shared" si="17"/>
        <v>1260</v>
      </c>
      <c r="G52" s="188" t="s">
        <v>882</v>
      </c>
      <c r="H52" s="163">
        <f t="shared" si="18"/>
        <v>420</v>
      </c>
      <c r="I52" s="188" t="s">
        <v>1056</v>
      </c>
      <c r="J52" s="159"/>
      <c r="K52" s="242">
        <f t="shared" si="19"/>
        <v>420</v>
      </c>
      <c r="L52" s="164"/>
      <c r="M52" s="165">
        <v>370</v>
      </c>
      <c r="N52" s="164">
        <v>5</v>
      </c>
      <c r="O52" s="166">
        <v>35</v>
      </c>
      <c r="P52" s="164">
        <v>10</v>
      </c>
      <c r="Q52" s="188"/>
      <c r="R52" s="188" t="s">
        <v>888</v>
      </c>
    </row>
    <row r="53" spans="1:18" ht="15.6" x14ac:dyDescent="0.3">
      <c r="A53" s="286" t="s">
        <v>473</v>
      </c>
      <c r="B53" s="55" t="s">
        <v>305</v>
      </c>
      <c r="C53" s="52" t="s">
        <v>304</v>
      </c>
      <c r="D53" s="98">
        <v>1</v>
      </c>
      <c r="E53" s="222">
        <f t="shared" si="16"/>
        <v>5000</v>
      </c>
      <c r="F53" s="222">
        <f t="shared" si="17"/>
        <v>5000</v>
      </c>
      <c r="G53" s="188" t="s">
        <v>882</v>
      </c>
      <c r="H53" s="163">
        <f t="shared" si="18"/>
        <v>5000</v>
      </c>
      <c r="I53" s="188" t="s">
        <v>1018</v>
      </c>
      <c r="J53" s="159"/>
      <c r="K53" s="242">
        <v>5000</v>
      </c>
      <c r="L53" s="164"/>
      <c r="M53" s="165"/>
      <c r="N53" s="164"/>
      <c r="O53" s="166"/>
      <c r="P53" s="164"/>
      <c r="Q53" s="188"/>
      <c r="R53" s="188"/>
    </row>
    <row r="54" spans="1:18" ht="15.6" x14ac:dyDescent="0.3">
      <c r="A54" s="286" t="s">
        <v>474</v>
      </c>
      <c r="B54" s="51" t="s">
        <v>303</v>
      </c>
      <c r="C54" s="49" t="s">
        <v>10</v>
      </c>
      <c r="D54" s="98">
        <v>1</v>
      </c>
      <c r="E54" s="222">
        <f t="shared" si="16"/>
        <v>14000</v>
      </c>
      <c r="F54" s="222">
        <f t="shared" si="17"/>
        <v>14000</v>
      </c>
      <c r="G54" s="188" t="s">
        <v>882</v>
      </c>
      <c r="H54" s="163">
        <f t="shared" ref="H54:H55" si="20">K54</f>
        <v>14000</v>
      </c>
      <c r="I54" s="188" t="s">
        <v>1018</v>
      </c>
      <c r="J54" s="159"/>
      <c r="K54" s="242">
        <v>14000</v>
      </c>
      <c r="L54" s="164"/>
      <c r="M54" s="165"/>
      <c r="N54" s="164"/>
      <c r="O54" s="166"/>
      <c r="P54" s="164"/>
      <c r="Q54" s="188"/>
      <c r="R54" s="188"/>
    </row>
    <row r="55" spans="1:18" ht="15.6" x14ac:dyDescent="0.3">
      <c r="A55" s="254"/>
      <c r="B55" s="51"/>
      <c r="C55" s="49"/>
      <c r="D55" s="98"/>
      <c r="E55" s="50"/>
      <c r="F55" s="53"/>
      <c r="G55" s="188"/>
      <c r="H55" s="163">
        <f t="shared" si="20"/>
        <v>0</v>
      </c>
      <c r="I55" s="188"/>
      <c r="J55" s="159"/>
      <c r="K55" s="164">
        <f t="shared" ref="K55" si="21">L55+M55+N55+O55+P55</f>
        <v>0</v>
      </c>
      <c r="L55" s="164"/>
      <c r="M55" s="165"/>
      <c r="N55" s="164"/>
      <c r="O55" s="166"/>
      <c r="P55" s="164"/>
      <c r="Q55" s="188"/>
      <c r="R55" s="188"/>
    </row>
    <row r="56" spans="1:18" ht="15.6" x14ac:dyDescent="0.3">
      <c r="A56" s="256">
        <v>16.21</v>
      </c>
      <c r="B56" s="42" t="s">
        <v>399</v>
      </c>
      <c r="C56" s="49"/>
      <c r="D56" s="98"/>
      <c r="E56" s="50"/>
      <c r="F56" s="53"/>
      <c r="G56" s="189" t="s">
        <v>557</v>
      </c>
      <c r="H56" s="189"/>
      <c r="I56" s="189"/>
      <c r="J56" s="189"/>
      <c r="K56" s="238"/>
      <c r="L56" s="239"/>
      <c r="M56" s="239"/>
      <c r="N56" s="189"/>
      <c r="O56" s="189"/>
      <c r="P56" s="189"/>
      <c r="Q56" s="189"/>
      <c r="R56" s="189"/>
    </row>
    <row r="57" spans="1:18" ht="15.6" x14ac:dyDescent="0.3">
      <c r="A57" s="254" t="s">
        <v>475</v>
      </c>
      <c r="B57" s="51" t="s">
        <v>302</v>
      </c>
      <c r="C57" s="49" t="s">
        <v>8</v>
      </c>
      <c r="D57" s="98">
        <v>100</v>
      </c>
      <c r="E57" s="222">
        <f t="shared" ref="E57:E73" si="22">ROUNDUP(H57*$J$2,0)</f>
        <v>400</v>
      </c>
      <c r="F57" s="222">
        <f t="shared" ref="F57:F73" si="23">D57*E57</f>
        <v>40000</v>
      </c>
      <c r="G57" s="172" t="s">
        <v>889</v>
      </c>
      <c r="H57" s="157">
        <f t="shared" ref="H57" si="24">K57</f>
        <v>400</v>
      </c>
      <c r="I57" s="172" t="s">
        <v>1058</v>
      </c>
      <c r="J57" s="159"/>
      <c r="K57" s="160">
        <f t="shared" ref="K57:K73" si="25">L57+M57+N57+O57+P57</f>
        <v>400</v>
      </c>
      <c r="L57" s="160"/>
      <c r="M57" s="165">
        <v>385</v>
      </c>
      <c r="N57" s="164">
        <v>5</v>
      </c>
      <c r="O57" s="219"/>
      <c r="P57" s="164">
        <v>10</v>
      </c>
      <c r="Q57" s="173"/>
      <c r="R57" s="173" t="s">
        <v>1058</v>
      </c>
    </row>
    <row r="58" spans="1:18" ht="15.6" x14ac:dyDescent="0.3">
      <c r="A58" s="254" t="s">
        <v>476</v>
      </c>
      <c r="B58" s="51" t="s">
        <v>301</v>
      </c>
      <c r="C58" s="49" t="s">
        <v>8</v>
      </c>
      <c r="D58" s="98">
        <v>22</v>
      </c>
      <c r="E58" s="222">
        <f t="shared" si="22"/>
        <v>440</v>
      </c>
      <c r="F58" s="222">
        <f t="shared" si="23"/>
        <v>9680</v>
      </c>
      <c r="G58" s="172" t="s">
        <v>889</v>
      </c>
      <c r="H58" s="157">
        <f t="shared" ref="H58:H73" si="26">K58</f>
        <v>440</v>
      </c>
      <c r="I58" s="172" t="s">
        <v>1059</v>
      </c>
      <c r="J58" s="159"/>
      <c r="K58" s="160">
        <f t="shared" si="25"/>
        <v>440</v>
      </c>
      <c r="L58" s="160"/>
      <c r="M58" s="165">
        <v>425</v>
      </c>
      <c r="N58" s="164">
        <v>5</v>
      </c>
      <c r="O58" s="219"/>
      <c r="P58" s="164">
        <v>10</v>
      </c>
      <c r="Q58" s="173"/>
      <c r="R58" s="173" t="s">
        <v>1059</v>
      </c>
    </row>
    <row r="59" spans="1:18" ht="15.6" x14ac:dyDescent="0.3">
      <c r="A59" s="254" t="s">
        <v>477</v>
      </c>
      <c r="B59" s="51" t="s">
        <v>300</v>
      </c>
      <c r="C59" s="49" t="s">
        <v>8</v>
      </c>
      <c r="D59" s="98">
        <v>15</v>
      </c>
      <c r="E59" s="222">
        <f t="shared" si="22"/>
        <v>480</v>
      </c>
      <c r="F59" s="222">
        <f t="shared" si="23"/>
        <v>7200</v>
      </c>
      <c r="G59" s="172" t="s">
        <v>889</v>
      </c>
      <c r="H59" s="157">
        <f t="shared" si="26"/>
        <v>480</v>
      </c>
      <c r="I59" s="172" t="s">
        <v>1060</v>
      </c>
      <c r="J59" s="159"/>
      <c r="K59" s="160">
        <f t="shared" si="25"/>
        <v>480</v>
      </c>
      <c r="L59" s="160"/>
      <c r="M59" s="165">
        <v>465</v>
      </c>
      <c r="N59" s="164">
        <v>5</v>
      </c>
      <c r="O59" s="219"/>
      <c r="P59" s="164">
        <v>10</v>
      </c>
      <c r="Q59" s="173"/>
      <c r="R59" s="173" t="s">
        <v>1060</v>
      </c>
    </row>
    <row r="60" spans="1:18" ht="15.6" x14ac:dyDescent="0.3">
      <c r="A60" s="254" t="s">
        <v>478</v>
      </c>
      <c r="B60" s="51" t="s">
        <v>299</v>
      </c>
      <c r="C60" s="49" t="s">
        <v>8</v>
      </c>
      <c r="D60" s="98">
        <v>4</v>
      </c>
      <c r="E60" s="222">
        <f t="shared" si="22"/>
        <v>1865</v>
      </c>
      <c r="F60" s="222">
        <f t="shared" si="23"/>
        <v>7460</v>
      </c>
      <c r="G60" s="172" t="s">
        <v>889</v>
      </c>
      <c r="H60" s="157">
        <f t="shared" si="26"/>
        <v>1865</v>
      </c>
      <c r="I60" s="172" t="s">
        <v>1061</v>
      </c>
      <c r="J60" s="159"/>
      <c r="K60" s="160">
        <f t="shared" si="25"/>
        <v>1865</v>
      </c>
      <c r="L60" s="160"/>
      <c r="M60" s="165">
        <v>1850</v>
      </c>
      <c r="N60" s="164">
        <v>5</v>
      </c>
      <c r="O60" s="219"/>
      <c r="P60" s="164">
        <v>10</v>
      </c>
      <c r="Q60" s="173"/>
      <c r="R60" s="173" t="s">
        <v>1061</v>
      </c>
    </row>
    <row r="61" spans="1:18" ht="15.6" x14ac:dyDescent="0.3">
      <c r="A61" s="254" t="s">
        <v>479</v>
      </c>
      <c r="B61" s="51" t="s">
        <v>298</v>
      </c>
      <c r="C61" s="49" t="s">
        <v>8</v>
      </c>
      <c r="D61" s="98">
        <v>6</v>
      </c>
      <c r="E61" s="222">
        <f t="shared" si="22"/>
        <v>540</v>
      </c>
      <c r="F61" s="222">
        <f t="shared" si="23"/>
        <v>3240</v>
      </c>
      <c r="G61" s="172" t="s">
        <v>889</v>
      </c>
      <c r="H61" s="157">
        <f t="shared" si="26"/>
        <v>540</v>
      </c>
      <c r="I61" s="172" t="s">
        <v>1058</v>
      </c>
      <c r="J61" s="159"/>
      <c r="K61" s="160">
        <f t="shared" si="25"/>
        <v>540</v>
      </c>
      <c r="L61" s="160"/>
      <c r="M61" s="165">
        <v>525</v>
      </c>
      <c r="N61" s="164">
        <v>5</v>
      </c>
      <c r="O61" s="219"/>
      <c r="P61" s="164">
        <v>10</v>
      </c>
      <c r="Q61" s="173"/>
      <c r="R61" s="173" t="s">
        <v>1058</v>
      </c>
    </row>
    <row r="62" spans="1:18" ht="15.6" x14ac:dyDescent="0.3">
      <c r="A62" s="254" t="s">
        <v>480</v>
      </c>
      <c r="B62" s="51" t="s">
        <v>297</v>
      </c>
      <c r="C62" s="49" t="s">
        <v>8</v>
      </c>
      <c r="D62" s="98">
        <v>3</v>
      </c>
      <c r="E62" s="222">
        <f t="shared" si="22"/>
        <v>800</v>
      </c>
      <c r="F62" s="222">
        <f t="shared" si="23"/>
        <v>2400</v>
      </c>
      <c r="G62" s="172" t="s">
        <v>889</v>
      </c>
      <c r="H62" s="157">
        <f t="shared" si="26"/>
        <v>800</v>
      </c>
      <c r="I62" s="172" t="s">
        <v>1058</v>
      </c>
      <c r="J62" s="159"/>
      <c r="K62" s="160">
        <f t="shared" si="25"/>
        <v>800</v>
      </c>
      <c r="L62" s="160"/>
      <c r="M62" s="165">
        <v>785</v>
      </c>
      <c r="N62" s="164">
        <v>5</v>
      </c>
      <c r="O62" s="219"/>
      <c r="P62" s="164">
        <v>10</v>
      </c>
      <c r="Q62" s="173"/>
      <c r="R62" s="173" t="s">
        <v>1058</v>
      </c>
    </row>
    <row r="63" spans="1:18" ht="15.6" x14ac:dyDescent="0.3">
      <c r="A63" s="285" t="s">
        <v>481</v>
      </c>
      <c r="B63" s="51" t="s">
        <v>296</v>
      </c>
      <c r="C63" s="49" t="s">
        <v>8</v>
      </c>
      <c r="D63" s="98">
        <v>1</v>
      </c>
      <c r="E63" s="222">
        <f t="shared" si="22"/>
        <v>500</v>
      </c>
      <c r="F63" s="222">
        <f t="shared" si="23"/>
        <v>500</v>
      </c>
      <c r="G63" s="172" t="s">
        <v>889</v>
      </c>
      <c r="H63" s="157">
        <f t="shared" si="26"/>
        <v>500</v>
      </c>
      <c r="I63" s="172" t="s">
        <v>1062</v>
      </c>
      <c r="J63" s="159"/>
      <c r="K63" s="160">
        <f t="shared" si="25"/>
        <v>500</v>
      </c>
      <c r="L63" s="160"/>
      <c r="M63" s="165">
        <v>485</v>
      </c>
      <c r="N63" s="164">
        <v>5</v>
      </c>
      <c r="O63" s="219"/>
      <c r="P63" s="164">
        <v>10</v>
      </c>
      <c r="Q63" s="173"/>
      <c r="R63" s="173" t="s">
        <v>1062</v>
      </c>
    </row>
    <row r="64" spans="1:18" ht="15.6" x14ac:dyDescent="0.3">
      <c r="A64" s="254" t="s">
        <v>482</v>
      </c>
      <c r="B64" s="51" t="s">
        <v>295</v>
      </c>
      <c r="C64" s="49" t="s">
        <v>8</v>
      </c>
      <c r="D64" s="98">
        <v>4</v>
      </c>
      <c r="E64" s="222">
        <f t="shared" si="22"/>
        <v>700</v>
      </c>
      <c r="F64" s="222">
        <f t="shared" si="23"/>
        <v>2800</v>
      </c>
      <c r="G64" s="172" t="s">
        <v>889</v>
      </c>
      <c r="H64" s="157">
        <f t="shared" si="26"/>
        <v>700</v>
      </c>
      <c r="I64" s="172" t="s">
        <v>1059</v>
      </c>
      <c r="J64" s="159"/>
      <c r="K64" s="160">
        <f t="shared" si="25"/>
        <v>700</v>
      </c>
      <c r="L64" s="160"/>
      <c r="M64" s="165">
        <v>685</v>
      </c>
      <c r="N64" s="164">
        <v>5</v>
      </c>
      <c r="O64" s="219"/>
      <c r="P64" s="164">
        <v>10</v>
      </c>
      <c r="Q64" s="173"/>
      <c r="R64" s="173" t="s">
        <v>1059</v>
      </c>
    </row>
    <row r="65" spans="1:18" ht="31.2" x14ac:dyDescent="0.3">
      <c r="A65" s="254" t="s">
        <v>483</v>
      </c>
      <c r="B65" s="51" t="s">
        <v>294</v>
      </c>
      <c r="C65" s="49" t="s">
        <v>8</v>
      </c>
      <c r="D65" s="98">
        <v>5</v>
      </c>
      <c r="E65" s="222">
        <f t="shared" si="22"/>
        <v>940</v>
      </c>
      <c r="F65" s="222">
        <f t="shared" si="23"/>
        <v>4700</v>
      </c>
      <c r="G65" s="172" t="s">
        <v>889</v>
      </c>
      <c r="H65" s="157">
        <f t="shared" si="26"/>
        <v>940</v>
      </c>
      <c r="I65" s="172" t="s">
        <v>1059</v>
      </c>
      <c r="J65" s="159"/>
      <c r="K65" s="160">
        <f t="shared" si="25"/>
        <v>940</v>
      </c>
      <c r="L65" s="160"/>
      <c r="M65" s="165">
        <v>925</v>
      </c>
      <c r="N65" s="164">
        <v>5</v>
      </c>
      <c r="O65" s="219"/>
      <c r="P65" s="164">
        <v>10</v>
      </c>
      <c r="Q65" s="173"/>
      <c r="R65" s="173" t="s">
        <v>1059</v>
      </c>
    </row>
    <row r="66" spans="1:18" ht="15.6" x14ac:dyDescent="0.3">
      <c r="A66" s="254" t="s">
        <v>484</v>
      </c>
      <c r="B66" s="51" t="s">
        <v>293</v>
      </c>
      <c r="C66" s="49" t="s">
        <v>8</v>
      </c>
      <c r="D66" s="98">
        <v>4</v>
      </c>
      <c r="E66" s="222">
        <f t="shared" si="22"/>
        <v>640</v>
      </c>
      <c r="F66" s="222">
        <f t="shared" si="23"/>
        <v>2560</v>
      </c>
      <c r="G66" s="172" t="s">
        <v>889</v>
      </c>
      <c r="H66" s="157">
        <f t="shared" si="26"/>
        <v>640</v>
      </c>
      <c r="I66" s="172" t="s">
        <v>1058</v>
      </c>
      <c r="J66" s="159"/>
      <c r="K66" s="160">
        <f t="shared" si="25"/>
        <v>640</v>
      </c>
      <c r="L66" s="160"/>
      <c r="M66" s="165">
        <v>625</v>
      </c>
      <c r="N66" s="164">
        <v>5</v>
      </c>
      <c r="O66" s="219"/>
      <c r="P66" s="164">
        <v>10</v>
      </c>
      <c r="Q66" s="173"/>
      <c r="R66" s="173" t="s">
        <v>1058</v>
      </c>
    </row>
    <row r="67" spans="1:18" ht="15.6" x14ac:dyDescent="0.3">
      <c r="A67" s="254" t="s">
        <v>485</v>
      </c>
      <c r="B67" s="51" t="s">
        <v>292</v>
      </c>
      <c r="C67" s="49" t="s">
        <v>8</v>
      </c>
      <c r="D67" s="98">
        <v>5</v>
      </c>
      <c r="E67" s="222">
        <f t="shared" si="22"/>
        <v>800</v>
      </c>
      <c r="F67" s="222">
        <f t="shared" si="23"/>
        <v>4000</v>
      </c>
      <c r="G67" s="172" t="s">
        <v>889</v>
      </c>
      <c r="H67" s="157">
        <f t="shared" si="26"/>
        <v>800</v>
      </c>
      <c r="I67" s="172" t="s">
        <v>1058</v>
      </c>
      <c r="J67" s="159"/>
      <c r="K67" s="160">
        <f t="shared" si="25"/>
        <v>800</v>
      </c>
      <c r="L67" s="160"/>
      <c r="M67" s="165">
        <v>785</v>
      </c>
      <c r="N67" s="164">
        <v>5</v>
      </c>
      <c r="O67" s="219"/>
      <c r="P67" s="164">
        <v>10</v>
      </c>
      <c r="Q67" s="173"/>
      <c r="R67" s="173" t="s">
        <v>1058</v>
      </c>
    </row>
    <row r="68" spans="1:18" ht="15.6" x14ac:dyDescent="0.3">
      <c r="A68" s="254" t="s">
        <v>486</v>
      </c>
      <c r="B68" s="51" t="s">
        <v>291</v>
      </c>
      <c r="C68" s="49" t="s">
        <v>8</v>
      </c>
      <c r="D68" s="98">
        <v>25</v>
      </c>
      <c r="E68" s="222">
        <f t="shared" si="22"/>
        <v>900</v>
      </c>
      <c r="F68" s="222">
        <f t="shared" si="23"/>
        <v>22500</v>
      </c>
      <c r="G68" s="172" t="s">
        <v>889</v>
      </c>
      <c r="H68" s="157">
        <f t="shared" si="26"/>
        <v>900</v>
      </c>
      <c r="I68" s="172" t="s">
        <v>1058</v>
      </c>
      <c r="J68" s="159"/>
      <c r="K68" s="160">
        <f t="shared" si="25"/>
        <v>900</v>
      </c>
      <c r="L68" s="160"/>
      <c r="M68" s="165">
        <v>885</v>
      </c>
      <c r="N68" s="164">
        <v>5</v>
      </c>
      <c r="O68" s="219"/>
      <c r="P68" s="164">
        <v>10</v>
      </c>
      <c r="Q68" s="173"/>
      <c r="R68" s="173" t="s">
        <v>1058</v>
      </c>
    </row>
    <row r="69" spans="1:18" ht="15.6" x14ac:dyDescent="0.3">
      <c r="A69" s="285" t="s">
        <v>487</v>
      </c>
      <c r="B69" s="51" t="s">
        <v>290</v>
      </c>
      <c r="C69" s="49" t="s">
        <v>8</v>
      </c>
      <c r="D69" s="98">
        <v>4</v>
      </c>
      <c r="E69" s="222">
        <f t="shared" si="22"/>
        <v>340</v>
      </c>
      <c r="F69" s="222">
        <f t="shared" si="23"/>
        <v>1360</v>
      </c>
      <c r="G69" s="172" t="s">
        <v>889</v>
      </c>
      <c r="H69" s="157">
        <f t="shared" si="26"/>
        <v>340</v>
      </c>
      <c r="I69" s="172" t="s">
        <v>1062</v>
      </c>
      <c r="J69" s="159"/>
      <c r="K69" s="160">
        <f t="shared" si="25"/>
        <v>340</v>
      </c>
      <c r="L69" s="160"/>
      <c r="M69" s="165">
        <v>325</v>
      </c>
      <c r="N69" s="164">
        <v>5</v>
      </c>
      <c r="O69" s="219"/>
      <c r="P69" s="164">
        <v>10</v>
      </c>
      <c r="Q69" s="173"/>
      <c r="R69" s="173" t="s">
        <v>1062</v>
      </c>
    </row>
    <row r="70" spans="1:18" ht="15.6" x14ac:dyDescent="0.3">
      <c r="A70" s="285" t="s">
        <v>488</v>
      </c>
      <c r="B70" s="51" t="s">
        <v>289</v>
      </c>
      <c r="C70" s="49" t="s">
        <v>8</v>
      </c>
      <c r="D70" s="98">
        <v>6</v>
      </c>
      <c r="E70" s="222">
        <f t="shared" si="22"/>
        <v>500</v>
      </c>
      <c r="F70" s="222">
        <f t="shared" si="23"/>
        <v>3000</v>
      </c>
      <c r="G70" s="172" t="s">
        <v>889</v>
      </c>
      <c r="H70" s="157">
        <f t="shared" si="26"/>
        <v>500</v>
      </c>
      <c r="I70" s="172" t="s">
        <v>1061</v>
      </c>
      <c r="J70" s="159"/>
      <c r="K70" s="160">
        <f t="shared" si="25"/>
        <v>500</v>
      </c>
      <c r="L70" s="160"/>
      <c r="M70" s="165">
        <v>485</v>
      </c>
      <c r="N70" s="164">
        <v>5</v>
      </c>
      <c r="O70" s="219"/>
      <c r="P70" s="164">
        <v>10</v>
      </c>
      <c r="Q70" s="173"/>
      <c r="R70" s="173" t="s">
        <v>1061</v>
      </c>
    </row>
    <row r="71" spans="1:18" ht="15.6" x14ac:dyDescent="0.3">
      <c r="A71" s="254" t="s">
        <v>489</v>
      </c>
      <c r="B71" s="51" t="s">
        <v>288</v>
      </c>
      <c r="C71" s="49" t="s">
        <v>8</v>
      </c>
      <c r="D71" s="98">
        <v>1</v>
      </c>
      <c r="E71" s="222">
        <f t="shared" si="22"/>
        <v>31005</v>
      </c>
      <c r="F71" s="222">
        <f t="shared" si="23"/>
        <v>31005</v>
      </c>
      <c r="G71" s="172" t="s">
        <v>889</v>
      </c>
      <c r="H71" s="157">
        <f t="shared" si="26"/>
        <v>31005</v>
      </c>
      <c r="I71" s="172" t="s">
        <v>1059</v>
      </c>
      <c r="J71" s="159"/>
      <c r="K71" s="160">
        <f t="shared" si="25"/>
        <v>31005</v>
      </c>
      <c r="L71" s="160"/>
      <c r="M71" s="165">
        <v>28500</v>
      </c>
      <c r="N71" s="164">
        <v>5</v>
      </c>
      <c r="O71" s="219">
        <v>2000</v>
      </c>
      <c r="P71" s="164">
        <v>500</v>
      </c>
      <c r="Q71" s="173"/>
      <c r="R71" s="173" t="s">
        <v>1059</v>
      </c>
    </row>
    <row r="72" spans="1:18" ht="15.6" x14ac:dyDescent="0.3">
      <c r="A72" s="254" t="s">
        <v>490</v>
      </c>
      <c r="B72" s="51" t="s">
        <v>287</v>
      </c>
      <c r="C72" s="49" t="s">
        <v>45</v>
      </c>
      <c r="D72" s="98">
        <v>1</v>
      </c>
      <c r="E72" s="222">
        <f t="shared" si="22"/>
        <v>17000</v>
      </c>
      <c r="F72" s="222">
        <f t="shared" si="23"/>
        <v>17000</v>
      </c>
      <c r="G72" s="172" t="s">
        <v>889</v>
      </c>
      <c r="H72" s="157">
        <f t="shared" si="26"/>
        <v>17000</v>
      </c>
      <c r="I72" s="172" t="s">
        <v>1018</v>
      </c>
      <c r="J72" s="159"/>
      <c r="K72" s="160">
        <f t="shared" si="25"/>
        <v>17000</v>
      </c>
      <c r="L72" s="160"/>
      <c r="M72" s="165">
        <v>17000</v>
      </c>
      <c r="N72" s="164"/>
      <c r="O72" s="219"/>
      <c r="P72" s="164"/>
      <c r="Q72" s="173"/>
      <c r="R72" s="173" t="s">
        <v>1018</v>
      </c>
    </row>
    <row r="73" spans="1:18" ht="15.6" x14ac:dyDescent="0.3">
      <c r="A73" s="254" t="s">
        <v>491</v>
      </c>
      <c r="B73" s="51" t="s">
        <v>286</v>
      </c>
      <c r="C73" s="49" t="s">
        <v>8</v>
      </c>
      <c r="D73" s="98">
        <v>1</v>
      </c>
      <c r="E73" s="222">
        <f t="shared" si="22"/>
        <v>12000</v>
      </c>
      <c r="F73" s="222">
        <f t="shared" si="23"/>
        <v>12000</v>
      </c>
      <c r="G73" s="172" t="s">
        <v>889</v>
      </c>
      <c r="H73" s="157">
        <f t="shared" si="26"/>
        <v>12000</v>
      </c>
      <c r="I73" s="172" t="s">
        <v>1018</v>
      </c>
      <c r="J73" s="159"/>
      <c r="K73" s="160">
        <f t="shared" si="25"/>
        <v>12000</v>
      </c>
      <c r="L73" s="160"/>
      <c r="M73" s="165">
        <v>12000</v>
      </c>
      <c r="N73" s="164"/>
      <c r="O73" s="219"/>
      <c r="P73" s="164"/>
      <c r="Q73" s="173"/>
      <c r="R73" s="173" t="s">
        <v>1018</v>
      </c>
    </row>
    <row r="74" spans="1:18" ht="15.6" x14ac:dyDescent="0.3">
      <c r="A74" s="254"/>
      <c r="B74" s="51"/>
      <c r="C74" s="49"/>
      <c r="D74" s="98"/>
      <c r="E74" s="50"/>
      <c r="F74" s="53"/>
      <c r="G74" s="180"/>
      <c r="H74" s="178"/>
      <c r="I74" s="178"/>
      <c r="J74" s="178"/>
      <c r="K74" s="178"/>
      <c r="L74" s="178"/>
      <c r="M74" s="218"/>
      <c r="N74" s="218"/>
      <c r="O74" s="218"/>
      <c r="P74" s="218"/>
      <c r="Q74" s="178"/>
      <c r="R74" s="178"/>
    </row>
    <row r="75" spans="1:18" ht="24" x14ac:dyDescent="0.3">
      <c r="A75" s="256">
        <v>16.22</v>
      </c>
      <c r="B75" s="42" t="s">
        <v>400</v>
      </c>
      <c r="C75" s="49"/>
      <c r="D75" s="98"/>
      <c r="E75" s="50"/>
      <c r="F75" s="53"/>
      <c r="G75" s="189" t="s">
        <v>625</v>
      </c>
      <c r="H75" s="189"/>
      <c r="I75" s="189"/>
      <c r="J75" s="189"/>
      <c r="K75" s="238"/>
      <c r="L75" s="239"/>
      <c r="M75" s="239"/>
      <c r="N75" s="189"/>
      <c r="O75" s="189"/>
      <c r="P75" s="189"/>
      <c r="Q75" s="240" t="s">
        <v>971</v>
      </c>
      <c r="R75" s="189"/>
    </row>
    <row r="76" spans="1:18" ht="15.6" x14ac:dyDescent="0.3">
      <c r="A76" s="285" t="s">
        <v>492</v>
      </c>
      <c r="B76" s="76" t="s">
        <v>377</v>
      </c>
      <c r="C76" s="49" t="s">
        <v>270</v>
      </c>
      <c r="D76" s="98">
        <v>5</v>
      </c>
      <c r="E76" s="222">
        <f t="shared" ref="E76:E108" si="27">ROUNDUP(H76*$J$2,0)</f>
        <v>21100</v>
      </c>
      <c r="F76" s="222">
        <f t="shared" ref="F76:F108" si="28">D76*E76</f>
        <v>105500</v>
      </c>
      <c r="G76" s="172" t="s">
        <v>923</v>
      </c>
      <c r="H76" s="157">
        <f t="shared" ref="H76:H108" si="29">K76</f>
        <v>21100</v>
      </c>
      <c r="I76" s="172" t="s">
        <v>924</v>
      </c>
      <c r="J76" s="159"/>
      <c r="K76" s="160">
        <f t="shared" ref="K76:K108" si="30">L76+M76+N76+O76+P76</f>
        <v>21100</v>
      </c>
      <c r="L76" s="160"/>
      <c r="M76" s="165">
        <v>19500</v>
      </c>
      <c r="N76" s="164">
        <v>100</v>
      </c>
      <c r="O76" s="219">
        <v>1000</v>
      </c>
      <c r="P76" s="164">
        <v>500</v>
      </c>
      <c r="Q76" s="173" t="s">
        <v>890</v>
      </c>
      <c r="R76" s="173"/>
    </row>
    <row r="77" spans="1:18" ht="15.6" x14ac:dyDescent="0.3">
      <c r="A77" s="285" t="s">
        <v>493</v>
      </c>
      <c r="B77" s="76" t="s">
        <v>378</v>
      </c>
      <c r="C77" s="49" t="s">
        <v>270</v>
      </c>
      <c r="D77" s="98">
        <v>5</v>
      </c>
      <c r="E77" s="222">
        <f t="shared" si="27"/>
        <v>3370</v>
      </c>
      <c r="F77" s="222">
        <f t="shared" si="28"/>
        <v>16850</v>
      </c>
      <c r="G77" s="172" t="s">
        <v>923</v>
      </c>
      <c r="H77" s="157">
        <f t="shared" si="29"/>
        <v>3370</v>
      </c>
      <c r="I77" s="172" t="s">
        <v>924</v>
      </c>
      <c r="J77" s="159"/>
      <c r="K77" s="160">
        <f t="shared" si="30"/>
        <v>3370</v>
      </c>
      <c r="L77" s="160"/>
      <c r="M77" s="165">
        <v>2850</v>
      </c>
      <c r="N77" s="164">
        <v>20</v>
      </c>
      <c r="O77" s="219">
        <v>300</v>
      </c>
      <c r="P77" s="164">
        <v>200</v>
      </c>
      <c r="Q77" s="173" t="s">
        <v>891</v>
      </c>
      <c r="R77" s="173"/>
    </row>
    <row r="78" spans="1:18" ht="15.6" x14ac:dyDescent="0.3">
      <c r="A78" s="285" t="s">
        <v>494</v>
      </c>
      <c r="B78" s="76" t="s">
        <v>379</v>
      </c>
      <c r="C78" s="49" t="s">
        <v>270</v>
      </c>
      <c r="D78" s="98">
        <v>5</v>
      </c>
      <c r="E78" s="222">
        <f t="shared" si="27"/>
        <v>4555</v>
      </c>
      <c r="F78" s="222">
        <f t="shared" si="28"/>
        <v>22775</v>
      </c>
      <c r="G78" s="172" t="s">
        <v>923</v>
      </c>
      <c r="H78" s="157">
        <f t="shared" si="29"/>
        <v>4555</v>
      </c>
      <c r="I78" s="172" t="s">
        <v>924</v>
      </c>
      <c r="J78" s="159"/>
      <c r="K78" s="160">
        <f t="shared" si="30"/>
        <v>4555</v>
      </c>
      <c r="L78" s="160"/>
      <c r="M78" s="165">
        <v>4200</v>
      </c>
      <c r="N78" s="164">
        <v>5</v>
      </c>
      <c r="O78" s="219">
        <v>200</v>
      </c>
      <c r="P78" s="164">
        <v>150</v>
      </c>
      <c r="Q78" s="173" t="s">
        <v>892</v>
      </c>
      <c r="R78" s="173"/>
    </row>
    <row r="79" spans="1:18" ht="15.6" x14ac:dyDescent="0.3">
      <c r="A79" s="285" t="s">
        <v>495</v>
      </c>
      <c r="B79" s="76" t="s">
        <v>380</v>
      </c>
      <c r="C79" s="49" t="s">
        <v>270</v>
      </c>
      <c r="D79" s="98">
        <v>5</v>
      </c>
      <c r="E79" s="222">
        <f t="shared" si="27"/>
        <v>11755</v>
      </c>
      <c r="F79" s="222">
        <f t="shared" si="28"/>
        <v>58775</v>
      </c>
      <c r="G79" s="172" t="s">
        <v>923</v>
      </c>
      <c r="H79" s="157">
        <f t="shared" si="29"/>
        <v>11755</v>
      </c>
      <c r="I79" s="172" t="s">
        <v>924</v>
      </c>
      <c r="J79" s="159"/>
      <c r="K79" s="160">
        <f t="shared" si="30"/>
        <v>11755</v>
      </c>
      <c r="L79" s="160"/>
      <c r="M79" s="165">
        <v>11250</v>
      </c>
      <c r="N79" s="164">
        <v>5</v>
      </c>
      <c r="O79" s="219">
        <v>300</v>
      </c>
      <c r="P79" s="164">
        <v>200</v>
      </c>
      <c r="Q79" s="173" t="s">
        <v>893</v>
      </c>
      <c r="R79" s="173"/>
    </row>
    <row r="80" spans="1:18" ht="15.6" x14ac:dyDescent="0.3">
      <c r="A80" s="285" t="s">
        <v>496</v>
      </c>
      <c r="B80" s="76" t="s">
        <v>381</v>
      </c>
      <c r="C80" s="49" t="s">
        <v>270</v>
      </c>
      <c r="D80" s="98">
        <v>5</v>
      </c>
      <c r="E80" s="222">
        <f t="shared" si="27"/>
        <v>2155</v>
      </c>
      <c r="F80" s="222">
        <f t="shared" si="28"/>
        <v>10775</v>
      </c>
      <c r="G80" s="172" t="s">
        <v>923</v>
      </c>
      <c r="H80" s="157">
        <f t="shared" si="29"/>
        <v>2155</v>
      </c>
      <c r="I80" s="172" t="s">
        <v>924</v>
      </c>
      <c r="J80" s="159"/>
      <c r="K80" s="160">
        <f t="shared" si="30"/>
        <v>2155</v>
      </c>
      <c r="L80" s="160"/>
      <c r="M80" s="165">
        <v>1800</v>
      </c>
      <c r="N80" s="164">
        <v>5</v>
      </c>
      <c r="O80" s="219">
        <v>200</v>
      </c>
      <c r="P80" s="164">
        <v>150</v>
      </c>
      <c r="Q80" s="173" t="s">
        <v>894</v>
      </c>
      <c r="R80" s="173"/>
    </row>
    <row r="81" spans="1:18" ht="15.6" x14ac:dyDescent="0.3">
      <c r="A81" s="285" t="s">
        <v>497</v>
      </c>
      <c r="B81" s="76" t="s">
        <v>382</v>
      </c>
      <c r="C81" s="49" t="s">
        <v>270</v>
      </c>
      <c r="D81" s="98">
        <v>5</v>
      </c>
      <c r="E81" s="222">
        <f t="shared" si="27"/>
        <v>5505</v>
      </c>
      <c r="F81" s="222">
        <f t="shared" si="28"/>
        <v>27525</v>
      </c>
      <c r="G81" s="172" t="s">
        <v>923</v>
      </c>
      <c r="H81" s="157">
        <f t="shared" si="29"/>
        <v>5505</v>
      </c>
      <c r="I81" s="172" t="s">
        <v>924</v>
      </c>
      <c r="J81" s="159"/>
      <c r="K81" s="160">
        <f t="shared" si="30"/>
        <v>5505</v>
      </c>
      <c r="L81" s="160"/>
      <c r="M81" s="165">
        <v>5000</v>
      </c>
      <c r="N81" s="164">
        <v>5</v>
      </c>
      <c r="O81" s="219">
        <v>300</v>
      </c>
      <c r="P81" s="164">
        <v>200</v>
      </c>
      <c r="Q81" s="173" t="s">
        <v>895</v>
      </c>
      <c r="R81" s="173"/>
    </row>
    <row r="82" spans="1:18" ht="15.6" x14ac:dyDescent="0.3">
      <c r="A82" s="285" t="s">
        <v>498</v>
      </c>
      <c r="B82" s="76" t="s">
        <v>383</v>
      </c>
      <c r="C82" s="49" t="s">
        <v>270</v>
      </c>
      <c r="D82" s="98">
        <v>5</v>
      </c>
      <c r="E82" s="222">
        <f t="shared" si="27"/>
        <v>3555</v>
      </c>
      <c r="F82" s="222">
        <f t="shared" si="28"/>
        <v>17775</v>
      </c>
      <c r="G82" s="172" t="s">
        <v>923</v>
      </c>
      <c r="H82" s="157">
        <f t="shared" si="29"/>
        <v>3555</v>
      </c>
      <c r="I82" s="172" t="s">
        <v>924</v>
      </c>
      <c r="J82" s="159"/>
      <c r="K82" s="160">
        <f t="shared" si="30"/>
        <v>3555</v>
      </c>
      <c r="L82" s="160"/>
      <c r="M82" s="165">
        <v>3200</v>
      </c>
      <c r="N82" s="164">
        <v>5</v>
      </c>
      <c r="O82" s="219">
        <v>200</v>
      </c>
      <c r="P82" s="164">
        <v>150</v>
      </c>
      <c r="Q82" s="173" t="s">
        <v>896</v>
      </c>
      <c r="R82" s="173"/>
    </row>
    <row r="83" spans="1:18" ht="15.6" x14ac:dyDescent="0.3">
      <c r="A83" s="285" t="s">
        <v>499</v>
      </c>
      <c r="B83" s="76" t="s">
        <v>384</v>
      </c>
      <c r="C83" s="49" t="s">
        <v>270</v>
      </c>
      <c r="D83" s="98">
        <v>5</v>
      </c>
      <c r="E83" s="222">
        <f t="shared" si="27"/>
        <v>3555</v>
      </c>
      <c r="F83" s="222">
        <f t="shared" si="28"/>
        <v>17775</v>
      </c>
      <c r="G83" s="172" t="s">
        <v>923</v>
      </c>
      <c r="H83" s="157">
        <f t="shared" si="29"/>
        <v>3555</v>
      </c>
      <c r="I83" s="172" t="s">
        <v>924</v>
      </c>
      <c r="J83" s="159"/>
      <c r="K83" s="160">
        <f t="shared" si="30"/>
        <v>3555</v>
      </c>
      <c r="L83" s="160"/>
      <c r="M83" s="165">
        <v>3200</v>
      </c>
      <c r="N83" s="164">
        <v>5</v>
      </c>
      <c r="O83" s="219">
        <v>200</v>
      </c>
      <c r="P83" s="164">
        <v>150</v>
      </c>
      <c r="Q83" s="173" t="s">
        <v>897</v>
      </c>
      <c r="R83" s="173"/>
    </row>
    <row r="84" spans="1:18" ht="15.6" x14ac:dyDescent="0.3">
      <c r="A84" s="285" t="s">
        <v>500</v>
      </c>
      <c r="B84" s="76" t="s">
        <v>385</v>
      </c>
      <c r="C84" s="49" t="s">
        <v>270</v>
      </c>
      <c r="D84" s="98">
        <v>5</v>
      </c>
      <c r="E84" s="222">
        <f t="shared" si="27"/>
        <v>4205</v>
      </c>
      <c r="F84" s="222">
        <f t="shared" si="28"/>
        <v>21025</v>
      </c>
      <c r="G84" s="172" t="s">
        <v>923</v>
      </c>
      <c r="H84" s="157">
        <f t="shared" si="29"/>
        <v>4205</v>
      </c>
      <c r="I84" s="172" t="s">
        <v>924</v>
      </c>
      <c r="J84" s="159"/>
      <c r="K84" s="160">
        <f t="shared" si="30"/>
        <v>4205</v>
      </c>
      <c r="L84" s="160"/>
      <c r="M84" s="165">
        <v>3850</v>
      </c>
      <c r="N84" s="164">
        <v>5</v>
      </c>
      <c r="O84" s="219">
        <v>200</v>
      </c>
      <c r="P84" s="164">
        <v>150</v>
      </c>
      <c r="Q84" s="173" t="s">
        <v>898</v>
      </c>
      <c r="R84" s="173"/>
    </row>
    <row r="85" spans="1:18" ht="15.6" x14ac:dyDescent="0.3">
      <c r="A85" s="285" t="s">
        <v>501</v>
      </c>
      <c r="B85" s="76" t="s">
        <v>386</v>
      </c>
      <c r="C85" s="49" t="s">
        <v>270</v>
      </c>
      <c r="D85" s="98">
        <v>5</v>
      </c>
      <c r="E85" s="222">
        <f t="shared" si="27"/>
        <v>2055</v>
      </c>
      <c r="F85" s="222">
        <f t="shared" si="28"/>
        <v>10275</v>
      </c>
      <c r="G85" s="172" t="s">
        <v>923</v>
      </c>
      <c r="H85" s="157">
        <f t="shared" si="29"/>
        <v>2055</v>
      </c>
      <c r="I85" s="172" t="s">
        <v>924</v>
      </c>
      <c r="J85" s="159"/>
      <c r="K85" s="160">
        <f t="shared" si="30"/>
        <v>2055</v>
      </c>
      <c r="L85" s="160"/>
      <c r="M85" s="165">
        <v>1800</v>
      </c>
      <c r="N85" s="164">
        <v>5</v>
      </c>
      <c r="O85" s="219">
        <v>150</v>
      </c>
      <c r="P85" s="164">
        <v>100</v>
      </c>
      <c r="Q85" s="173" t="s">
        <v>899</v>
      </c>
      <c r="R85" s="173"/>
    </row>
    <row r="86" spans="1:18" ht="15.6" x14ac:dyDescent="0.3">
      <c r="A86" s="285" t="s">
        <v>502</v>
      </c>
      <c r="B86" s="76" t="s">
        <v>387</v>
      </c>
      <c r="C86" s="49" t="s">
        <v>270</v>
      </c>
      <c r="D86" s="98">
        <v>5</v>
      </c>
      <c r="E86" s="222">
        <f t="shared" si="27"/>
        <v>3205</v>
      </c>
      <c r="F86" s="222">
        <f t="shared" si="28"/>
        <v>16025</v>
      </c>
      <c r="G86" s="172" t="s">
        <v>923</v>
      </c>
      <c r="H86" s="157">
        <f t="shared" si="29"/>
        <v>3205</v>
      </c>
      <c r="I86" s="172" t="s">
        <v>924</v>
      </c>
      <c r="J86" s="159"/>
      <c r="K86" s="160">
        <f t="shared" si="30"/>
        <v>3205</v>
      </c>
      <c r="L86" s="160"/>
      <c r="M86" s="165">
        <v>2850</v>
      </c>
      <c r="N86" s="164">
        <v>5</v>
      </c>
      <c r="O86" s="219">
        <v>200</v>
      </c>
      <c r="P86" s="164">
        <v>150</v>
      </c>
      <c r="Q86" s="173" t="s">
        <v>900</v>
      </c>
      <c r="R86" s="173"/>
    </row>
    <row r="87" spans="1:18" ht="15.6" x14ac:dyDescent="0.3">
      <c r="A87" s="285" t="s">
        <v>503</v>
      </c>
      <c r="B87" s="76" t="s">
        <v>388</v>
      </c>
      <c r="C87" s="49" t="s">
        <v>270</v>
      </c>
      <c r="D87" s="98">
        <v>5</v>
      </c>
      <c r="E87" s="222">
        <f t="shared" si="27"/>
        <v>3205</v>
      </c>
      <c r="F87" s="222">
        <f t="shared" si="28"/>
        <v>16025</v>
      </c>
      <c r="G87" s="172" t="s">
        <v>923</v>
      </c>
      <c r="H87" s="157">
        <f t="shared" si="29"/>
        <v>3205</v>
      </c>
      <c r="I87" s="172" t="s">
        <v>924</v>
      </c>
      <c r="J87" s="159"/>
      <c r="K87" s="160">
        <f t="shared" si="30"/>
        <v>3205</v>
      </c>
      <c r="L87" s="160"/>
      <c r="M87" s="165">
        <v>2850</v>
      </c>
      <c r="N87" s="164">
        <v>5</v>
      </c>
      <c r="O87" s="219">
        <v>200</v>
      </c>
      <c r="P87" s="164">
        <v>150</v>
      </c>
      <c r="Q87" s="173" t="s">
        <v>901</v>
      </c>
      <c r="R87" s="173"/>
    </row>
    <row r="88" spans="1:18" ht="15.6" x14ac:dyDescent="0.3">
      <c r="A88" s="285" t="s">
        <v>504</v>
      </c>
      <c r="B88" s="76" t="s">
        <v>389</v>
      </c>
      <c r="C88" s="49" t="s">
        <v>270</v>
      </c>
      <c r="D88" s="98">
        <v>10</v>
      </c>
      <c r="E88" s="222">
        <f t="shared" si="27"/>
        <v>200</v>
      </c>
      <c r="F88" s="222">
        <f t="shared" si="28"/>
        <v>2000</v>
      </c>
      <c r="G88" s="172" t="s">
        <v>923</v>
      </c>
      <c r="H88" s="157">
        <f t="shared" si="29"/>
        <v>200</v>
      </c>
      <c r="I88" s="172" t="s">
        <v>924</v>
      </c>
      <c r="J88" s="159"/>
      <c r="K88" s="160">
        <f t="shared" si="30"/>
        <v>200</v>
      </c>
      <c r="L88" s="160"/>
      <c r="M88" s="165">
        <v>180</v>
      </c>
      <c r="N88" s="164">
        <v>5</v>
      </c>
      <c r="O88" s="219">
        <v>10</v>
      </c>
      <c r="P88" s="164">
        <v>5</v>
      </c>
      <c r="Q88" s="173" t="s">
        <v>902</v>
      </c>
      <c r="R88" s="173"/>
    </row>
    <row r="89" spans="1:18" ht="15.6" x14ac:dyDescent="0.3">
      <c r="A89" s="287" t="s">
        <v>505</v>
      </c>
      <c r="B89" s="75" t="s">
        <v>958</v>
      </c>
      <c r="C89" s="49" t="s">
        <v>270</v>
      </c>
      <c r="D89" s="98">
        <v>5</v>
      </c>
      <c r="E89" s="222">
        <f t="shared" si="27"/>
        <v>0</v>
      </c>
      <c r="F89" s="222">
        <f t="shared" si="28"/>
        <v>0</v>
      </c>
      <c r="G89" s="172" t="s">
        <v>923</v>
      </c>
      <c r="H89" s="157">
        <f t="shared" si="29"/>
        <v>0</v>
      </c>
      <c r="I89" s="172" t="s">
        <v>924</v>
      </c>
      <c r="J89" s="159"/>
      <c r="K89" s="160">
        <f t="shared" si="30"/>
        <v>0</v>
      </c>
      <c r="L89" s="160"/>
      <c r="M89" s="165">
        <v>0</v>
      </c>
      <c r="N89" s="164"/>
      <c r="O89" s="219">
        <v>0</v>
      </c>
      <c r="P89" s="164">
        <v>0</v>
      </c>
      <c r="Q89" s="173" t="s">
        <v>903</v>
      </c>
      <c r="R89" s="173"/>
    </row>
    <row r="90" spans="1:18" ht="15.6" x14ac:dyDescent="0.3">
      <c r="A90" s="285" t="s">
        <v>506</v>
      </c>
      <c r="B90" s="76" t="s">
        <v>390</v>
      </c>
      <c r="C90" s="49" t="s">
        <v>270</v>
      </c>
      <c r="D90" s="98">
        <v>5</v>
      </c>
      <c r="E90" s="222">
        <f t="shared" si="27"/>
        <v>535</v>
      </c>
      <c r="F90" s="222">
        <f t="shared" si="28"/>
        <v>2675</v>
      </c>
      <c r="G90" s="172" t="s">
        <v>923</v>
      </c>
      <c r="H90" s="157">
        <f t="shared" si="29"/>
        <v>535</v>
      </c>
      <c r="I90" s="172" t="s">
        <v>924</v>
      </c>
      <c r="J90" s="159"/>
      <c r="K90" s="160">
        <f t="shared" si="30"/>
        <v>535</v>
      </c>
      <c r="L90" s="160"/>
      <c r="M90" s="165">
        <v>450</v>
      </c>
      <c r="N90" s="164">
        <v>5</v>
      </c>
      <c r="O90" s="219">
        <v>30</v>
      </c>
      <c r="P90" s="164">
        <v>50</v>
      </c>
      <c r="Q90" s="173" t="s">
        <v>904</v>
      </c>
      <c r="R90" s="173"/>
    </row>
    <row r="91" spans="1:18" ht="15.6" x14ac:dyDescent="0.3">
      <c r="A91" s="285" t="s">
        <v>507</v>
      </c>
      <c r="B91" s="76" t="s">
        <v>391</v>
      </c>
      <c r="C91" s="49" t="s">
        <v>270</v>
      </c>
      <c r="D91" s="98">
        <v>5</v>
      </c>
      <c r="E91" s="222">
        <f t="shared" si="27"/>
        <v>445</v>
      </c>
      <c r="F91" s="222">
        <f t="shared" si="28"/>
        <v>2225</v>
      </c>
      <c r="G91" s="172" t="s">
        <v>923</v>
      </c>
      <c r="H91" s="157">
        <f t="shared" si="29"/>
        <v>445</v>
      </c>
      <c r="I91" s="172" t="s">
        <v>924</v>
      </c>
      <c r="J91" s="159"/>
      <c r="K91" s="160">
        <f t="shared" si="30"/>
        <v>445</v>
      </c>
      <c r="L91" s="160"/>
      <c r="M91" s="165">
        <v>400</v>
      </c>
      <c r="N91" s="164">
        <v>5</v>
      </c>
      <c r="O91" s="219">
        <v>30</v>
      </c>
      <c r="P91" s="164">
        <v>10</v>
      </c>
      <c r="Q91" s="173" t="s">
        <v>905</v>
      </c>
      <c r="R91" s="173"/>
    </row>
    <row r="92" spans="1:18" ht="15.6" x14ac:dyDescent="0.3">
      <c r="A92" s="285" t="s">
        <v>508</v>
      </c>
      <c r="B92" s="76" t="s">
        <v>392</v>
      </c>
      <c r="C92" s="49" t="s">
        <v>270</v>
      </c>
      <c r="D92" s="98">
        <v>5</v>
      </c>
      <c r="E92" s="222">
        <f t="shared" si="27"/>
        <v>1945</v>
      </c>
      <c r="F92" s="222">
        <f t="shared" si="28"/>
        <v>9725</v>
      </c>
      <c r="G92" s="172" t="s">
        <v>923</v>
      </c>
      <c r="H92" s="157">
        <f t="shared" si="29"/>
        <v>1945</v>
      </c>
      <c r="I92" s="172" t="s">
        <v>924</v>
      </c>
      <c r="J92" s="159"/>
      <c r="K92" s="160">
        <f t="shared" si="30"/>
        <v>1945</v>
      </c>
      <c r="L92" s="160"/>
      <c r="M92" s="165">
        <v>1900</v>
      </c>
      <c r="N92" s="164">
        <v>5</v>
      </c>
      <c r="O92" s="219">
        <v>30</v>
      </c>
      <c r="P92" s="164">
        <v>10</v>
      </c>
      <c r="Q92" s="173" t="s">
        <v>906</v>
      </c>
      <c r="R92" s="173"/>
    </row>
    <row r="93" spans="1:18" ht="15.6" x14ac:dyDescent="0.3">
      <c r="A93" s="285" t="s">
        <v>509</v>
      </c>
      <c r="B93" s="76" t="s">
        <v>393</v>
      </c>
      <c r="C93" s="49" t="s">
        <v>270</v>
      </c>
      <c r="D93" s="98">
        <v>5</v>
      </c>
      <c r="E93" s="222">
        <f t="shared" si="27"/>
        <v>205</v>
      </c>
      <c r="F93" s="222">
        <f t="shared" si="28"/>
        <v>1025</v>
      </c>
      <c r="G93" s="172" t="s">
        <v>923</v>
      </c>
      <c r="H93" s="157">
        <f t="shared" si="29"/>
        <v>205</v>
      </c>
      <c r="I93" s="172" t="s">
        <v>924</v>
      </c>
      <c r="J93" s="159"/>
      <c r="K93" s="160">
        <f t="shared" si="30"/>
        <v>205</v>
      </c>
      <c r="L93" s="160"/>
      <c r="M93" s="165">
        <v>185</v>
      </c>
      <c r="N93" s="164">
        <v>5</v>
      </c>
      <c r="O93" s="219">
        <v>10</v>
      </c>
      <c r="P93" s="164">
        <v>5</v>
      </c>
      <c r="Q93" s="173" t="s">
        <v>907</v>
      </c>
      <c r="R93" s="173"/>
    </row>
    <row r="94" spans="1:18" ht="31.2" x14ac:dyDescent="0.3">
      <c r="A94" s="285" t="s">
        <v>510</v>
      </c>
      <c r="B94" s="76" t="s">
        <v>394</v>
      </c>
      <c r="C94" s="49" t="s">
        <v>270</v>
      </c>
      <c r="D94" s="98">
        <v>5</v>
      </c>
      <c r="E94" s="222">
        <f t="shared" si="27"/>
        <v>55</v>
      </c>
      <c r="F94" s="222">
        <f t="shared" si="28"/>
        <v>275</v>
      </c>
      <c r="G94" s="172" t="s">
        <v>923</v>
      </c>
      <c r="H94" s="157">
        <f t="shared" si="29"/>
        <v>55</v>
      </c>
      <c r="I94" s="172" t="s">
        <v>924</v>
      </c>
      <c r="J94" s="159"/>
      <c r="K94" s="160">
        <f t="shared" si="30"/>
        <v>55</v>
      </c>
      <c r="L94" s="160"/>
      <c r="M94" s="165">
        <v>30</v>
      </c>
      <c r="N94" s="164">
        <v>5</v>
      </c>
      <c r="O94" s="219">
        <v>10</v>
      </c>
      <c r="P94" s="164">
        <v>10</v>
      </c>
      <c r="Q94" s="173" t="s">
        <v>908</v>
      </c>
      <c r="R94" s="173"/>
    </row>
    <row r="95" spans="1:18" ht="31.2" x14ac:dyDescent="0.3">
      <c r="A95" s="285" t="s">
        <v>511</v>
      </c>
      <c r="B95" s="76" t="s">
        <v>395</v>
      </c>
      <c r="C95" s="49" t="s">
        <v>270</v>
      </c>
      <c r="D95" s="98">
        <v>5</v>
      </c>
      <c r="E95" s="222">
        <f t="shared" si="27"/>
        <v>370</v>
      </c>
      <c r="F95" s="222">
        <f t="shared" si="28"/>
        <v>1850</v>
      </c>
      <c r="G95" s="172" t="s">
        <v>923</v>
      </c>
      <c r="H95" s="157">
        <f t="shared" si="29"/>
        <v>370</v>
      </c>
      <c r="I95" s="172" t="s">
        <v>924</v>
      </c>
      <c r="J95" s="159"/>
      <c r="K95" s="160">
        <f t="shared" si="30"/>
        <v>370</v>
      </c>
      <c r="L95" s="160"/>
      <c r="M95" s="165">
        <v>285</v>
      </c>
      <c r="N95" s="164">
        <v>5</v>
      </c>
      <c r="O95" s="219">
        <v>30</v>
      </c>
      <c r="P95" s="164">
        <v>50</v>
      </c>
      <c r="Q95" s="173" t="s">
        <v>909</v>
      </c>
      <c r="R95" s="173"/>
    </row>
    <row r="96" spans="1:18" ht="15.6" x14ac:dyDescent="0.3">
      <c r="A96" s="285" t="s">
        <v>512</v>
      </c>
      <c r="B96" s="76" t="s">
        <v>396</v>
      </c>
      <c r="C96" s="49" t="s">
        <v>270</v>
      </c>
      <c r="D96" s="98">
        <v>5</v>
      </c>
      <c r="E96" s="222">
        <f t="shared" si="27"/>
        <v>3605</v>
      </c>
      <c r="F96" s="222">
        <f t="shared" si="28"/>
        <v>18025</v>
      </c>
      <c r="G96" s="172" t="s">
        <v>923</v>
      </c>
      <c r="H96" s="157">
        <f t="shared" si="29"/>
        <v>3605</v>
      </c>
      <c r="I96" s="172" t="s">
        <v>924</v>
      </c>
      <c r="J96" s="159"/>
      <c r="K96" s="160">
        <f t="shared" si="30"/>
        <v>3605</v>
      </c>
      <c r="L96" s="160"/>
      <c r="M96" s="165">
        <v>3100</v>
      </c>
      <c r="N96" s="164">
        <v>5</v>
      </c>
      <c r="O96" s="219">
        <v>200</v>
      </c>
      <c r="P96" s="164">
        <v>300</v>
      </c>
      <c r="Q96" s="173" t="s">
        <v>910</v>
      </c>
      <c r="R96" s="173"/>
    </row>
    <row r="97" spans="1:18" ht="15.6" x14ac:dyDescent="0.3">
      <c r="A97" s="285" t="s">
        <v>513</v>
      </c>
      <c r="B97" s="76" t="s">
        <v>397</v>
      </c>
      <c r="C97" s="49" t="s">
        <v>270</v>
      </c>
      <c r="D97" s="98">
        <v>5</v>
      </c>
      <c r="E97" s="222">
        <f t="shared" si="27"/>
        <v>1465</v>
      </c>
      <c r="F97" s="222">
        <f t="shared" si="28"/>
        <v>7325</v>
      </c>
      <c r="G97" s="172" t="s">
        <v>923</v>
      </c>
      <c r="H97" s="157">
        <f t="shared" si="29"/>
        <v>1465</v>
      </c>
      <c r="I97" s="172" t="s">
        <v>924</v>
      </c>
      <c r="J97" s="159"/>
      <c r="K97" s="160">
        <f t="shared" si="30"/>
        <v>1465</v>
      </c>
      <c r="L97" s="160"/>
      <c r="M97" s="165">
        <v>1250</v>
      </c>
      <c r="N97" s="164">
        <v>5</v>
      </c>
      <c r="O97" s="219">
        <v>200</v>
      </c>
      <c r="P97" s="164">
        <v>10</v>
      </c>
      <c r="Q97" s="173" t="s">
        <v>911</v>
      </c>
      <c r="R97" s="173"/>
    </row>
    <row r="98" spans="1:18" ht="31.2" x14ac:dyDescent="0.3">
      <c r="A98" s="285" t="s">
        <v>514</v>
      </c>
      <c r="B98" s="77" t="s">
        <v>366</v>
      </c>
      <c r="C98" s="49" t="s">
        <v>270</v>
      </c>
      <c r="D98" s="98">
        <v>12</v>
      </c>
      <c r="E98" s="222">
        <f t="shared" si="27"/>
        <v>1805</v>
      </c>
      <c r="F98" s="222">
        <f t="shared" si="28"/>
        <v>21660</v>
      </c>
      <c r="G98" s="172" t="s">
        <v>923</v>
      </c>
      <c r="H98" s="157">
        <f t="shared" si="29"/>
        <v>1805</v>
      </c>
      <c r="I98" s="172" t="s">
        <v>927</v>
      </c>
      <c r="J98" s="159"/>
      <c r="K98" s="160">
        <f t="shared" si="30"/>
        <v>1805</v>
      </c>
      <c r="L98" s="160"/>
      <c r="M98" s="165">
        <v>1300</v>
      </c>
      <c r="N98" s="164">
        <v>5</v>
      </c>
      <c r="O98" s="219">
        <v>300</v>
      </c>
      <c r="P98" s="164">
        <v>200</v>
      </c>
      <c r="Q98" s="173" t="s">
        <v>912</v>
      </c>
      <c r="R98" s="173"/>
    </row>
    <row r="99" spans="1:18" ht="15.6" x14ac:dyDescent="0.3">
      <c r="A99" s="285" t="s">
        <v>515</v>
      </c>
      <c r="B99" s="77" t="s">
        <v>367</v>
      </c>
      <c r="C99" s="49" t="s">
        <v>270</v>
      </c>
      <c r="D99" s="98">
        <v>2000</v>
      </c>
      <c r="E99" s="222">
        <f t="shared" si="27"/>
        <v>25</v>
      </c>
      <c r="F99" s="222">
        <f t="shared" si="28"/>
        <v>50000</v>
      </c>
      <c r="G99" s="172" t="s">
        <v>923</v>
      </c>
      <c r="H99" s="157">
        <f t="shared" si="29"/>
        <v>25</v>
      </c>
      <c r="I99" s="172" t="s">
        <v>927</v>
      </c>
      <c r="J99" s="159"/>
      <c r="K99" s="160">
        <f t="shared" si="30"/>
        <v>25</v>
      </c>
      <c r="L99" s="160"/>
      <c r="M99" s="165">
        <v>18</v>
      </c>
      <c r="N99" s="164">
        <v>2</v>
      </c>
      <c r="O99" s="219">
        <v>3</v>
      </c>
      <c r="P99" s="164">
        <v>2</v>
      </c>
      <c r="Q99" s="173" t="s">
        <v>913</v>
      </c>
      <c r="R99" s="173"/>
    </row>
    <row r="100" spans="1:18" ht="239.4" customHeight="1" x14ac:dyDescent="0.3">
      <c r="A100" s="285" t="s">
        <v>516</v>
      </c>
      <c r="B100" s="77" t="s">
        <v>368</v>
      </c>
      <c r="C100" s="49" t="s">
        <v>270</v>
      </c>
      <c r="D100" s="98">
        <v>1</v>
      </c>
      <c r="E100" s="222">
        <f t="shared" si="27"/>
        <v>7100</v>
      </c>
      <c r="F100" s="222">
        <f t="shared" si="28"/>
        <v>7100</v>
      </c>
      <c r="G100" s="172" t="s">
        <v>923</v>
      </c>
      <c r="H100" s="157">
        <f t="shared" si="29"/>
        <v>7100</v>
      </c>
      <c r="I100" s="172" t="s">
        <v>548</v>
      </c>
      <c r="J100" s="159"/>
      <c r="K100" s="160">
        <f t="shared" si="30"/>
        <v>7100</v>
      </c>
      <c r="L100" s="160"/>
      <c r="M100" s="165">
        <v>5500</v>
      </c>
      <c r="N100" s="164">
        <v>100</v>
      </c>
      <c r="O100" s="219">
        <v>1000</v>
      </c>
      <c r="P100" s="164">
        <v>500</v>
      </c>
      <c r="Q100" s="173" t="s">
        <v>914</v>
      </c>
      <c r="R100" s="173"/>
    </row>
    <row r="101" spans="1:18" ht="15.6" x14ac:dyDescent="0.3">
      <c r="A101" s="285" t="s">
        <v>517</v>
      </c>
      <c r="B101" s="78" t="s">
        <v>369</v>
      </c>
      <c r="C101" s="49" t="s">
        <v>270</v>
      </c>
      <c r="D101" s="98">
        <v>1</v>
      </c>
      <c r="E101" s="222">
        <f t="shared" si="27"/>
        <v>3050</v>
      </c>
      <c r="F101" s="222">
        <f t="shared" si="28"/>
        <v>3050</v>
      </c>
      <c r="G101" s="172" t="s">
        <v>923</v>
      </c>
      <c r="H101" s="157">
        <f t="shared" si="29"/>
        <v>3050</v>
      </c>
      <c r="I101" s="172" t="s">
        <v>928</v>
      </c>
      <c r="J101" s="159"/>
      <c r="K101" s="160">
        <f t="shared" si="30"/>
        <v>3050</v>
      </c>
      <c r="L101" s="160"/>
      <c r="M101" s="165">
        <v>3000</v>
      </c>
      <c r="N101" s="164">
        <v>50</v>
      </c>
      <c r="O101" s="219">
        <v>0</v>
      </c>
      <c r="P101" s="164">
        <v>0</v>
      </c>
      <c r="Q101" s="173" t="s">
        <v>915</v>
      </c>
      <c r="R101" s="173"/>
    </row>
    <row r="102" spans="1:18" ht="15.6" x14ac:dyDescent="0.3">
      <c r="A102" s="285" t="s">
        <v>518</v>
      </c>
      <c r="B102" s="77" t="s">
        <v>370</v>
      </c>
      <c r="C102" s="49" t="s">
        <v>270</v>
      </c>
      <c r="D102" s="98">
        <v>10</v>
      </c>
      <c r="E102" s="222">
        <f t="shared" si="27"/>
        <v>1455</v>
      </c>
      <c r="F102" s="222">
        <f t="shared" si="28"/>
        <v>14550</v>
      </c>
      <c r="G102" s="172" t="s">
        <v>923</v>
      </c>
      <c r="H102" s="157">
        <f t="shared" si="29"/>
        <v>1455</v>
      </c>
      <c r="I102" s="172" t="s">
        <v>925</v>
      </c>
      <c r="J102" s="159"/>
      <c r="K102" s="160">
        <f t="shared" si="30"/>
        <v>1455</v>
      </c>
      <c r="L102" s="160"/>
      <c r="M102" s="165">
        <v>1200</v>
      </c>
      <c r="N102" s="164">
        <v>5</v>
      </c>
      <c r="O102" s="219">
        <v>150</v>
      </c>
      <c r="P102" s="164">
        <v>100</v>
      </c>
      <c r="Q102" s="173" t="s">
        <v>916</v>
      </c>
      <c r="R102" s="173"/>
    </row>
    <row r="103" spans="1:18" ht="15.6" x14ac:dyDescent="0.3">
      <c r="A103" s="285" t="s">
        <v>519</v>
      </c>
      <c r="B103" s="77" t="s">
        <v>371</v>
      </c>
      <c r="C103" s="49" t="s">
        <v>270</v>
      </c>
      <c r="D103" s="98">
        <v>20</v>
      </c>
      <c r="E103" s="222">
        <f t="shared" si="27"/>
        <v>1205</v>
      </c>
      <c r="F103" s="222">
        <f t="shared" si="28"/>
        <v>24100</v>
      </c>
      <c r="G103" s="172" t="s">
        <v>923</v>
      </c>
      <c r="H103" s="157">
        <f t="shared" si="29"/>
        <v>1205</v>
      </c>
      <c r="I103" s="172" t="s">
        <v>925</v>
      </c>
      <c r="J103" s="159"/>
      <c r="K103" s="160">
        <f t="shared" si="30"/>
        <v>1205</v>
      </c>
      <c r="L103" s="160"/>
      <c r="M103" s="165">
        <v>950</v>
      </c>
      <c r="N103" s="164">
        <v>5</v>
      </c>
      <c r="O103" s="219">
        <v>150</v>
      </c>
      <c r="P103" s="164">
        <v>100</v>
      </c>
      <c r="Q103" s="173" t="s">
        <v>917</v>
      </c>
      <c r="R103" s="173"/>
    </row>
    <row r="104" spans="1:18" ht="15.6" x14ac:dyDescent="0.3">
      <c r="A104" s="285" t="s">
        <v>520</v>
      </c>
      <c r="B104" s="78" t="s">
        <v>372</v>
      </c>
      <c r="C104" s="49" t="s">
        <v>270</v>
      </c>
      <c r="D104" s="98">
        <v>60</v>
      </c>
      <c r="E104" s="222">
        <f t="shared" si="27"/>
        <v>1235</v>
      </c>
      <c r="F104" s="222">
        <f t="shared" si="28"/>
        <v>74100</v>
      </c>
      <c r="G104" s="172" t="s">
        <v>923</v>
      </c>
      <c r="H104" s="157">
        <f t="shared" si="29"/>
        <v>1235</v>
      </c>
      <c r="I104" s="172" t="s">
        <v>924</v>
      </c>
      <c r="J104" s="159"/>
      <c r="K104" s="160">
        <f t="shared" si="30"/>
        <v>1235</v>
      </c>
      <c r="L104" s="160"/>
      <c r="M104" s="165">
        <v>1100</v>
      </c>
      <c r="N104" s="164">
        <v>5</v>
      </c>
      <c r="O104" s="219">
        <v>80</v>
      </c>
      <c r="P104" s="164">
        <v>50</v>
      </c>
      <c r="Q104" s="173" t="s">
        <v>918</v>
      </c>
      <c r="R104" s="173"/>
    </row>
    <row r="105" spans="1:18" ht="31.2" x14ac:dyDescent="0.3">
      <c r="A105" s="285" t="s">
        <v>521</v>
      </c>
      <c r="B105" s="77" t="s">
        <v>373</v>
      </c>
      <c r="C105" s="49" t="s">
        <v>270</v>
      </c>
      <c r="D105" s="98">
        <v>1</v>
      </c>
      <c r="E105" s="222">
        <f t="shared" si="27"/>
        <v>6600</v>
      </c>
      <c r="F105" s="222">
        <f t="shared" si="28"/>
        <v>6600</v>
      </c>
      <c r="G105" s="172" t="s">
        <v>923</v>
      </c>
      <c r="H105" s="157">
        <f t="shared" si="29"/>
        <v>6600</v>
      </c>
      <c r="I105" s="172" t="s">
        <v>926</v>
      </c>
      <c r="J105" s="159"/>
      <c r="K105" s="160">
        <f t="shared" si="30"/>
        <v>6600</v>
      </c>
      <c r="L105" s="160"/>
      <c r="M105" s="165">
        <v>5500</v>
      </c>
      <c r="N105" s="164">
        <v>100</v>
      </c>
      <c r="O105" s="219">
        <v>500</v>
      </c>
      <c r="P105" s="164">
        <v>500</v>
      </c>
      <c r="Q105" s="173" t="s">
        <v>919</v>
      </c>
      <c r="R105" s="173"/>
    </row>
    <row r="106" spans="1:18" ht="31.2" x14ac:dyDescent="0.3">
      <c r="A106" s="285" t="s">
        <v>522</v>
      </c>
      <c r="B106" s="77" t="s">
        <v>374</v>
      </c>
      <c r="C106" s="49" t="s">
        <v>270</v>
      </c>
      <c r="D106" s="98">
        <v>300</v>
      </c>
      <c r="E106" s="222">
        <f t="shared" si="27"/>
        <v>29</v>
      </c>
      <c r="F106" s="222">
        <f t="shared" si="28"/>
        <v>8700</v>
      </c>
      <c r="G106" s="172" t="s">
        <v>923</v>
      </c>
      <c r="H106" s="157">
        <f t="shared" si="29"/>
        <v>29</v>
      </c>
      <c r="I106" s="172" t="s">
        <v>925</v>
      </c>
      <c r="J106" s="159"/>
      <c r="K106" s="160">
        <f t="shared" si="30"/>
        <v>29</v>
      </c>
      <c r="L106" s="160"/>
      <c r="M106" s="165">
        <v>22</v>
      </c>
      <c r="N106" s="164">
        <v>2</v>
      </c>
      <c r="O106" s="219">
        <v>3</v>
      </c>
      <c r="P106" s="164">
        <v>2</v>
      </c>
      <c r="Q106" s="173" t="s">
        <v>920</v>
      </c>
      <c r="R106" s="173"/>
    </row>
    <row r="107" spans="1:18" ht="15.6" x14ac:dyDescent="0.3">
      <c r="A107" s="285" t="s">
        <v>523</v>
      </c>
      <c r="B107" s="77" t="s">
        <v>375</v>
      </c>
      <c r="C107" s="49" t="s">
        <v>270</v>
      </c>
      <c r="D107" s="98">
        <v>60</v>
      </c>
      <c r="E107" s="222">
        <f t="shared" si="27"/>
        <v>255</v>
      </c>
      <c r="F107" s="222">
        <f t="shared" si="28"/>
        <v>15300</v>
      </c>
      <c r="G107" s="172" t="s">
        <v>923</v>
      </c>
      <c r="H107" s="157">
        <f t="shared" si="29"/>
        <v>255</v>
      </c>
      <c r="I107" s="172" t="s">
        <v>924</v>
      </c>
      <c r="J107" s="159"/>
      <c r="K107" s="160">
        <f t="shared" si="30"/>
        <v>255</v>
      </c>
      <c r="L107" s="160"/>
      <c r="M107" s="165">
        <v>200</v>
      </c>
      <c r="N107" s="164">
        <v>5</v>
      </c>
      <c r="O107" s="219">
        <v>30</v>
      </c>
      <c r="P107" s="164">
        <v>20</v>
      </c>
      <c r="Q107" s="173" t="s">
        <v>921</v>
      </c>
      <c r="R107" s="173"/>
    </row>
    <row r="108" spans="1:18" ht="187.2" x14ac:dyDescent="0.3">
      <c r="A108" s="285" t="s">
        <v>524</v>
      </c>
      <c r="B108" s="77" t="s">
        <v>376</v>
      </c>
      <c r="C108" s="49" t="s">
        <v>270</v>
      </c>
      <c r="D108" s="98">
        <v>1</v>
      </c>
      <c r="E108" s="222">
        <f t="shared" si="27"/>
        <v>20200</v>
      </c>
      <c r="F108" s="222">
        <f t="shared" si="28"/>
        <v>20200</v>
      </c>
      <c r="G108" s="172" t="s">
        <v>923</v>
      </c>
      <c r="H108" s="157">
        <f t="shared" si="29"/>
        <v>20200</v>
      </c>
      <c r="I108" s="172"/>
      <c r="J108" s="159"/>
      <c r="K108" s="160">
        <f t="shared" si="30"/>
        <v>20200</v>
      </c>
      <c r="L108" s="160"/>
      <c r="M108" s="165">
        <v>20000</v>
      </c>
      <c r="N108" s="164">
        <v>200</v>
      </c>
      <c r="O108" s="219">
        <v>0</v>
      </c>
      <c r="P108" s="164">
        <v>0</v>
      </c>
      <c r="Q108" s="173" t="s">
        <v>922</v>
      </c>
      <c r="R108" s="173"/>
    </row>
    <row r="109" spans="1:18" ht="15.6" x14ac:dyDescent="0.3">
      <c r="A109" s="285"/>
      <c r="B109" s="76"/>
      <c r="C109" s="49"/>
      <c r="E109" s="50"/>
      <c r="F109" s="53"/>
      <c r="G109" s="180"/>
      <c r="H109" s="178"/>
      <c r="I109" s="178"/>
      <c r="J109" s="178"/>
      <c r="K109" s="178"/>
      <c r="L109" s="178"/>
      <c r="M109" s="218"/>
      <c r="N109" s="218"/>
      <c r="O109" s="218"/>
      <c r="P109" s="218"/>
      <c r="Q109" s="178"/>
      <c r="R109" s="178"/>
    </row>
    <row r="110" spans="1:18" ht="15.6" x14ac:dyDescent="0.3">
      <c r="A110" s="288">
        <v>15.22</v>
      </c>
      <c r="B110" s="3" t="s">
        <v>11</v>
      </c>
      <c r="C110" s="4"/>
      <c r="D110" s="4"/>
      <c r="E110" s="2"/>
      <c r="F110" s="2"/>
      <c r="G110" s="2"/>
      <c r="H110" s="2"/>
      <c r="I110" s="2"/>
      <c r="J110" s="2"/>
      <c r="K110" s="2"/>
      <c r="L110" s="2"/>
      <c r="M110" s="2"/>
      <c r="N110" s="2"/>
      <c r="O110" s="2"/>
      <c r="P110" s="2"/>
      <c r="Q110" s="2"/>
      <c r="R110" s="178"/>
    </row>
    <row r="111" spans="1:18" ht="45" x14ac:dyDescent="0.3">
      <c r="A111" s="289" t="s">
        <v>12</v>
      </c>
      <c r="B111" s="5" t="s">
        <v>341</v>
      </c>
      <c r="C111" s="6" t="s">
        <v>10</v>
      </c>
      <c r="D111" s="6">
        <v>1</v>
      </c>
      <c r="E111" s="222">
        <f>ROUNDUP(H111*$J$2,0)</f>
        <v>353000</v>
      </c>
      <c r="F111" s="222">
        <f>D111*E111</f>
        <v>353000</v>
      </c>
      <c r="G111" s="163" t="s">
        <v>883</v>
      </c>
      <c r="H111" s="163">
        <f t="shared" ref="H111" si="31">K111</f>
        <v>353000</v>
      </c>
      <c r="I111" s="158" t="s">
        <v>536</v>
      </c>
      <c r="J111" s="159"/>
      <c r="K111" s="164">
        <f t="shared" ref="K111" si="32">L111+M111+N111+O111+P111</f>
        <v>353000</v>
      </c>
      <c r="L111" s="164">
        <v>0</v>
      </c>
      <c r="M111" s="165">
        <v>295000</v>
      </c>
      <c r="N111" s="164">
        <v>5400</v>
      </c>
      <c r="O111" s="166">
        <v>40000</v>
      </c>
      <c r="P111" s="164">
        <v>12600</v>
      </c>
      <c r="Q111" s="158"/>
      <c r="R111" s="158" t="s">
        <v>537</v>
      </c>
    </row>
    <row r="112" spans="1:18" ht="15.6" x14ac:dyDescent="0.3">
      <c r="A112" s="151"/>
      <c r="B112" s="76"/>
      <c r="C112" s="49"/>
      <c r="D112" s="98"/>
      <c r="E112" s="50"/>
      <c r="F112" s="53"/>
      <c r="G112" s="180"/>
      <c r="H112" s="178"/>
      <c r="I112" s="178"/>
      <c r="J112" s="178"/>
      <c r="K112" s="178"/>
      <c r="L112" s="178"/>
      <c r="M112" s="218"/>
      <c r="N112" s="218"/>
      <c r="O112" s="218"/>
      <c r="P112" s="218"/>
      <c r="Q112" s="178"/>
    </row>
    <row r="113" spans="1:17" ht="15.6" x14ac:dyDescent="0.3">
      <c r="A113" s="151"/>
      <c r="B113" s="76"/>
      <c r="C113" s="49"/>
      <c r="D113" s="98"/>
      <c r="E113" s="50"/>
      <c r="F113" s="53"/>
      <c r="G113" s="180"/>
      <c r="H113" s="178"/>
      <c r="I113" s="178"/>
      <c r="J113" s="178"/>
      <c r="K113" s="178"/>
      <c r="L113" s="178"/>
      <c r="M113" s="218"/>
      <c r="N113" s="218"/>
      <c r="O113" s="218"/>
      <c r="P113" s="218"/>
      <c r="Q113" s="178"/>
    </row>
    <row r="114" spans="1:17" ht="16.2" thickBot="1" x14ac:dyDescent="0.35">
      <c r="A114" s="152"/>
      <c r="B114" s="79"/>
      <c r="C114" s="80"/>
      <c r="D114" s="99"/>
      <c r="E114" s="277"/>
      <c r="F114" s="186"/>
      <c r="G114" s="180"/>
      <c r="H114" s="178"/>
      <c r="I114" s="178"/>
      <c r="J114" s="178"/>
      <c r="K114" s="178"/>
      <c r="L114" s="178"/>
      <c r="M114" s="218"/>
      <c r="N114" s="218"/>
      <c r="O114" s="218"/>
      <c r="P114" s="218"/>
      <c r="Q114" s="178"/>
    </row>
    <row r="115" spans="1:17" ht="16.2" thickBot="1" x14ac:dyDescent="0.35">
      <c r="A115" s="190" t="s">
        <v>355</v>
      </c>
      <c r="B115" s="153"/>
      <c r="C115" s="153"/>
      <c r="D115" s="153"/>
      <c r="E115" s="153"/>
      <c r="F115" s="182">
        <f>SUM(F4:F108)</f>
        <v>1231063</v>
      </c>
      <c r="G115" s="178"/>
      <c r="H115" s="179"/>
      <c r="I115" s="178"/>
      <c r="J115" s="178"/>
      <c r="K115" s="178"/>
      <c r="L115" s="178"/>
      <c r="M115" s="218"/>
      <c r="N115" s="218"/>
      <c r="O115" s="218"/>
      <c r="P115" s="218"/>
      <c r="Q115" s="178"/>
    </row>
    <row r="116" spans="1:17" ht="15.6" x14ac:dyDescent="0.3">
      <c r="A116" s="100"/>
      <c r="B116" s="39"/>
      <c r="C116" s="100"/>
      <c r="D116" s="100"/>
      <c r="E116" s="278"/>
      <c r="F116" s="278"/>
      <c r="H116" s="43"/>
    </row>
    <row r="117" spans="1:17" ht="15.6" x14ac:dyDescent="0.3">
      <c r="A117" s="100"/>
      <c r="B117" s="39"/>
      <c r="C117" s="100"/>
      <c r="D117" s="100"/>
      <c r="E117" s="228"/>
      <c r="F117" s="228"/>
    </row>
    <row r="118" spans="1:17" ht="15.6" x14ac:dyDescent="0.3">
      <c r="A118" s="100"/>
      <c r="B118" s="39"/>
      <c r="C118" s="100"/>
      <c r="D118" s="100"/>
      <c r="E118" s="228"/>
      <c r="F118" s="228"/>
    </row>
    <row r="119" spans="1:17" ht="15.6" x14ac:dyDescent="0.3">
      <c r="A119" s="100"/>
      <c r="B119" s="39"/>
      <c r="C119" s="100"/>
      <c r="D119" s="100"/>
      <c r="E119" s="228"/>
      <c r="F119" s="228"/>
    </row>
    <row r="120" spans="1:17" ht="255.6" customHeight="1" x14ac:dyDescent="0.3">
      <c r="A120" s="100"/>
      <c r="B120" s="39"/>
      <c r="C120" s="100"/>
      <c r="D120" s="100"/>
      <c r="E120" s="228"/>
      <c r="F120" s="228"/>
    </row>
    <row r="121" spans="1:17" ht="15.6" x14ac:dyDescent="0.3">
      <c r="A121" s="100"/>
      <c r="B121" s="39"/>
      <c r="C121" s="100"/>
      <c r="D121" s="100"/>
      <c r="E121" s="228"/>
      <c r="F121" s="228"/>
    </row>
    <row r="122" spans="1:17" ht="15.6" x14ac:dyDescent="0.3">
      <c r="A122" s="100"/>
      <c r="B122" s="39"/>
      <c r="C122" s="100"/>
      <c r="D122" s="100"/>
      <c r="E122" s="228"/>
      <c r="F122" s="228"/>
    </row>
    <row r="123" spans="1:17" ht="15.6" x14ac:dyDescent="0.3">
      <c r="A123" s="100"/>
      <c r="B123" s="39"/>
      <c r="C123" s="100"/>
      <c r="D123" s="100"/>
      <c r="E123" s="228"/>
      <c r="F123" s="228"/>
    </row>
    <row r="124" spans="1:17" ht="15.6" x14ac:dyDescent="0.3">
      <c r="A124" s="100"/>
      <c r="B124" s="39"/>
      <c r="C124" s="100"/>
      <c r="D124" s="100"/>
      <c r="E124" s="228"/>
      <c r="F124" s="228"/>
    </row>
    <row r="125" spans="1:17" ht="15.6" x14ac:dyDescent="0.3">
      <c r="A125" s="100"/>
      <c r="B125" s="39"/>
      <c r="C125" s="100"/>
      <c r="D125" s="100"/>
      <c r="E125" s="228"/>
      <c r="F125" s="228"/>
    </row>
    <row r="126" spans="1:17" ht="15.6" x14ac:dyDescent="0.3">
      <c r="A126" s="100"/>
      <c r="B126" s="39"/>
      <c r="C126" s="100"/>
      <c r="D126" s="100"/>
      <c r="E126" s="228"/>
      <c r="F126" s="228"/>
    </row>
    <row r="127" spans="1:17" ht="15.6" x14ac:dyDescent="0.3">
      <c r="A127" s="100"/>
      <c r="B127" s="39"/>
      <c r="C127" s="100"/>
      <c r="D127" s="100"/>
      <c r="E127" s="228"/>
      <c r="F127" s="228"/>
    </row>
    <row r="128" spans="1:17" ht="200.4" customHeight="1" x14ac:dyDescent="0.3">
      <c r="A128" s="100"/>
      <c r="B128" s="39"/>
      <c r="C128" s="100"/>
      <c r="D128" s="100"/>
      <c r="E128" s="228"/>
      <c r="F128" s="228"/>
    </row>
    <row r="129" spans="1:6" ht="15.6" x14ac:dyDescent="0.3">
      <c r="A129" s="100"/>
      <c r="B129" s="39"/>
      <c r="C129" s="100"/>
      <c r="D129" s="100"/>
      <c r="E129" s="228"/>
      <c r="F129" s="228"/>
    </row>
    <row r="130" spans="1:6" ht="15.6" x14ac:dyDescent="0.3">
      <c r="A130" s="100"/>
      <c r="B130" s="39"/>
      <c r="C130" s="100"/>
      <c r="D130" s="100"/>
      <c r="E130" s="228"/>
      <c r="F130" s="228"/>
    </row>
    <row r="131" spans="1:6" ht="15.6" x14ac:dyDescent="0.3">
      <c r="A131" s="100"/>
      <c r="B131" s="39"/>
      <c r="C131" s="100"/>
      <c r="D131" s="100"/>
      <c r="E131" s="228"/>
      <c r="F131" s="228"/>
    </row>
    <row r="132" spans="1:6" ht="15.6" x14ac:dyDescent="0.3">
      <c r="A132" s="100"/>
      <c r="B132" s="39"/>
      <c r="C132" s="100"/>
      <c r="D132" s="100"/>
      <c r="E132" s="228"/>
      <c r="F132" s="228"/>
    </row>
    <row r="133" spans="1:6" ht="15.6" x14ac:dyDescent="0.3">
      <c r="A133" s="100"/>
      <c r="B133" s="39"/>
      <c r="C133" s="100"/>
      <c r="D133" s="100"/>
      <c r="E133" s="228"/>
      <c r="F133" s="228"/>
    </row>
  </sheetData>
  <protectedRanges>
    <protectedRange sqref="F4:F114" name="Range1"/>
  </protectedRanges>
  <mergeCells count="2">
    <mergeCell ref="A2:F2"/>
    <mergeCell ref="A1:F1"/>
  </mergeCells>
  <phoneticPr fontId="10" type="noConversion"/>
  <printOptions horizontalCentered="1"/>
  <pageMargins left="0.35433070866141736" right="0.23622047244094491" top="0.51181102362204722" bottom="0.47" header="0.31496062992125984" footer="0.31496062992125984"/>
  <pageSetup paperSize="9" scale="25" fitToHeight="4" orientation="portrait" r:id="rId1"/>
  <rowBreaks count="1" manualBreakCount="1">
    <brk id="3" max="17" man="1"/>
  </rowBreaks>
  <ignoredErrors>
    <ignoredError sqref="F5" unlockedFormula="1"/>
  </ignoredError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F5E69-E037-4E04-9AD6-58FB9B312022}">
  <sheetPr>
    <pageSetUpPr fitToPage="1"/>
  </sheetPr>
  <dimension ref="A1:V142"/>
  <sheetViews>
    <sheetView view="pageBreakPreview" zoomScale="55" zoomScaleNormal="100" zoomScaleSheetLayoutView="55" workbookViewId="0">
      <pane xSplit="2" ySplit="3" topLeftCell="C4" activePane="bottomRight" state="frozen"/>
      <selection activeCell="B21" sqref="B21"/>
      <selection pane="topRight" activeCell="B21" sqref="B21"/>
      <selection pane="bottomLeft" activeCell="B21" sqref="B21"/>
      <selection pane="bottomRight" activeCell="X15" sqref="X15"/>
    </sheetView>
  </sheetViews>
  <sheetFormatPr defaultColWidth="9.21875" defaultRowHeight="14.4" x14ac:dyDescent="0.3"/>
  <cols>
    <col min="1" max="1" width="25" style="101" bestFit="1" customWidth="1"/>
    <col min="2" max="2" width="102.44140625" style="9" bestFit="1" customWidth="1"/>
    <col min="3" max="3" width="5.6640625" style="9" bestFit="1" customWidth="1"/>
    <col min="4" max="4" width="7.21875" style="101" bestFit="1" customWidth="1"/>
    <col min="5" max="5" width="9.88671875" style="1" bestFit="1" customWidth="1"/>
    <col min="6" max="6" width="17.6640625" style="1" bestFit="1" customWidth="1"/>
    <col min="7" max="7" width="31.109375" style="9" bestFit="1" customWidth="1"/>
    <col min="8" max="8" width="9.6640625" style="9" bestFit="1" customWidth="1"/>
    <col min="9" max="9" width="21.88671875" style="9" bestFit="1" customWidth="1"/>
    <col min="10" max="10" width="5.88671875" style="9" bestFit="1" customWidth="1"/>
    <col min="11" max="11" width="9.6640625" style="9" bestFit="1" customWidth="1"/>
    <col min="12" max="12" width="15.44140625" style="9" bestFit="1" customWidth="1"/>
    <col min="13" max="13" width="9.6640625" style="101" bestFit="1" customWidth="1"/>
    <col min="14" max="14" width="15.77734375" style="101" bestFit="1" customWidth="1"/>
    <col min="15" max="15" width="8.88671875" style="101" bestFit="1" customWidth="1"/>
    <col min="16" max="16" width="8.5546875" style="101" bestFit="1" customWidth="1"/>
    <col min="17" max="17" width="41.21875" style="9" bestFit="1" customWidth="1"/>
    <col min="18" max="18" width="22.33203125" style="9" bestFit="1" customWidth="1"/>
    <col min="19" max="16384" width="9.21875" style="9"/>
  </cols>
  <sheetData>
    <row r="1" spans="1:22" s="104" customFormat="1" ht="82.05" customHeight="1" thickBot="1" x14ac:dyDescent="0.35">
      <c r="A1" s="290"/>
      <c r="B1" s="291"/>
      <c r="C1" s="291"/>
      <c r="D1" s="291"/>
      <c r="E1" s="291"/>
      <c r="F1" s="292"/>
      <c r="M1" s="167"/>
      <c r="N1" s="167"/>
      <c r="O1" s="167"/>
      <c r="P1" s="167"/>
    </row>
    <row r="2" spans="1:22" s="7" customFormat="1" ht="24" thickBot="1" x14ac:dyDescent="0.35">
      <c r="A2" s="293" t="s">
        <v>354</v>
      </c>
      <c r="B2" s="294"/>
      <c r="C2" s="294"/>
      <c r="D2" s="294"/>
      <c r="E2" s="294"/>
      <c r="F2" s="295"/>
      <c r="J2" s="221">
        <v>1</v>
      </c>
      <c r="M2" s="220"/>
      <c r="N2" s="220"/>
      <c r="O2" s="220"/>
      <c r="P2" s="220"/>
    </row>
    <row r="3" spans="1:22" ht="32.549999999999997" customHeight="1" thickTop="1" thickBot="1" x14ac:dyDescent="0.35">
      <c r="A3" s="116" t="s">
        <v>4</v>
      </c>
      <c r="B3" s="117" t="s">
        <v>5</v>
      </c>
      <c r="C3" s="118" t="s">
        <v>0</v>
      </c>
      <c r="D3" s="118" t="s">
        <v>412</v>
      </c>
      <c r="E3" s="118" t="s">
        <v>340</v>
      </c>
      <c r="F3" s="181" t="s">
        <v>339</v>
      </c>
      <c r="G3" s="187" t="s">
        <v>538</v>
      </c>
      <c r="H3" s="187" t="s">
        <v>525</v>
      </c>
      <c r="I3" s="187" t="s">
        <v>526</v>
      </c>
      <c r="J3" s="187" t="s">
        <v>527</v>
      </c>
      <c r="K3" s="187" t="s">
        <v>528</v>
      </c>
      <c r="L3" s="187" t="s">
        <v>529</v>
      </c>
      <c r="M3" s="187" t="s">
        <v>530</v>
      </c>
      <c r="N3" s="187" t="s">
        <v>531</v>
      </c>
      <c r="O3" s="187" t="s">
        <v>532</v>
      </c>
      <c r="P3" s="187" t="s">
        <v>533</v>
      </c>
      <c r="Q3" s="187" t="s">
        <v>534</v>
      </c>
      <c r="R3" s="187" t="s">
        <v>535</v>
      </c>
      <c r="S3" s="7"/>
      <c r="T3" s="7"/>
      <c r="U3" s="7"/>
      <c r="V3" s="7"/>
    </row>
    <row r="4" spans="1:22" ht="15.6" x14ac:dyDescent="0.3">
      <c r="A4" s="269"/>
      <c r="B4" s="55"/>
      <c r="C4" s="52"/>
      <c r="D4" s="60"/>
      <c r="E4" s="54"/>
      <c r="F4" s="184"/>
      <c r="G4" s="180"/>
      <c r="H4" s="178"/>
      <c r="I4" s="178"/>
      <c r="J4" s="178"/>
      <c r="K4" s="178"/>
      <c r="L4" s="178"/>
      <c r="M4" s="218"/>
      <c r="N4" s="218"/>
      <c r="O4" s="218"/>
      <c r="P4" s="218"/>
      <c r="Q4" s="178"/>
      <c r="R4" s="178"/>
    </row>
    <row r="5" spans="1:22" ht="15.6" x14ac:dyDescent="0.3">
      <c r="A5" s="270">
        <v>16.18</v>
      </c>
      <c r="B5" s="57" t="s">
        <v>111</v>
      </c>
      <c r="C5" s="52"/>
      <c r="D5" s="49"/>
      <c r="E5" s="50"/>
      <c r="F5" s="184"/>
      <c r="G5" s="189" t="s">
        <v>576</v>
      </c>
      <c r="H5" s="189"/>
      <c r="I5" s="189"/>
      <c r="J5" s="189"/>
      <c r="K5" s="238"/>
      <c r="L5" s="239"/>
      <c r="M5" s="239"/>
      <c r="N5" s="189"/>
      <c r="O5" s="189"/>
      <c r="P5" s="189"/>
      <c r="Q5" s="189"/>
      <c r="R5" s="189"/>
    </row>
    <row r="6" spans="1:22" ht="46.8" x14ac:dyDescent="0.3">
      <c r="A6" s="270"/>
      <c r="B6" s="51" t="s">
        <v>112</v>
      </c>
      <c r="C6" s="52"/>
      <c r="D6" s="52"/>
      <c r="E6" s="50"/>
      <c r="F6" s="184"/>
      <c r="G6" s="180"/>
      <c r="H6" s="178"/>
      <c r="I6" s="178"/>
      <c r="J6" s="178"/>
      <c r="K6" s="178"/>
      <c r="L6" s="178"/>
      <c r="M6" s="218"/>
      <c r="N6" s="218"/>
      <c r="O6" s="218"/>
      <c r="P6" s="218"/>
      <c r="Q6" s="178"/>
      <c r="R6" s="178"/>
    </row>
    <row r="7" spans="1:22" ht="15.6" x14ac:dyDescent="0.3">
      <c r="A7" s="269" t="s">
        <v>113</v>
      </c>
      <c r="B7" s="55" t="s">
        <v>114</v>
      </c>
      <c r="C7" s="52" t="s">
        <v>2</v>
      </c>
      <c r="D7" s="52">
        <v>850</v>
      </c>
      <c r="E7" s="222">
        <f t="shared" ref="E7:E15" si="0">ROUNDUP(H7*$J$2,0)</f>
        <v>19</v>
      </c>
      <c r="F7" s="222">
        <f t="shared" ref="F7:F15" si="1">D7*E7</f>
        <v>16150</v>
      </c>
      <c r="G7" s="188" t="s">
        <v>576</v>
      </c>
      <c r="H7" s="163">
        <f t="shared" ref="H7:H15" si="2">K7</f>
        <v>19</v>
      </c>
      <c r="I7" s="188" t="s">
        <v>1029</v>
      </c>
      <c r="J7" s="159"/>
      <c r="K7" s="164">
        <f t="shared" ref="K7:K15" si="3">L7+M7+N7+O7+P7</f>
        <v>19</v>
      </c>
      <c r="L7" s="164"/>
      <c r="M7" s="165">
        <v>15</v>
      </c>
      <c r="N7" s="164">
        <v>1</v>
      </c>
      <c r="O7" s="166"/>
      <c r="P7" s="164">
        <v>3</v>
      </c>
      <c r="Q7" s="188"/>
      <c r="R7" s="188"/>
    </row>
    <row r="8" spans="1:22" ht="15.6" x14ac:dyDescent="0.3">
      <c r="A8" s="269" t="s">
        <v>115</v>
      </c>
      <c r="B8" s="55" t="s">
        <v>116</v>
      </c>
      <c r="C8" s="52" t="s">
        <v>2</v>
      </c>
      <c r="D8" s="52">
        <v>1200</v>
      </c>
      <c r="E8" s="222">
        <f t="shared" si="0"/>
        <v>19</v>
      </c>
      <c r="F8" s="222">
        <f t="shared" si="1"/>
        <v>22800</v>
      </c>
      <c r="G8" s="188" t="s">
        <v>576</v>
      </c>
      <c r="H8" s="163">
        <f t="shared" si="2"/>
        <v>19</v>
      </c>
      <c r="I8" s="188" t="s">
        <v>1029</v>
      </c>
      <c r="J8" s="159"/>
      <c r="K8" s="164">
        <f t="shared" si="3"/>
        <v>19</v>
      </c>
      <c r="L8" s="164"/>
      <c r="M8" s="165">
        <v>15</v>
      </c>
      <c r="N8" s="164">
        <v>1</v>
      </c>
      <c r="O8" s="166"/>
      <c r="P8" s="164">
        <v>3</v>
      </c>
      <c r="Q8" s="188"/>
      <c r="R8" s="188"/>
    </row>
    <row r="9" spans="1:22" ht="15.6" x14ac:dyDescent="0.3">
      <c r="A9" s="269" t="s">
        <v>117</v>
      </c>
      <c r="B9" s="55" t="s">
        <v>118</v>
      </c>
      <c r="C9" s="52" t="s">
        <v>8</v>
      </c>
      <c r="D9" s="49">
        <v>2</v>
      </c>
      <c r="E9" s="222">
        <f t="shared" si="0"/>
        <v>1970</v>
      </c>
      <c r="F9" s="222">
        <f t="shared" si="1"/>
        <v>3940</v>
      </c>
      <c r="G9" s="188" t="s">
        <v>576</v>
      </c>
      <c r="H9" s="163">
        <f t="shared" si="2"/>
        <v>1970</v>
      </c>
      <c r="I9" s="188" t="s">
        <v>1030</v>
      </c>
      <c r="J9" s="159"/>
      <c r="K9" s="164">
        <f t="shared" si="3"/>
        <v>1970</v>
      </c>
      <c r="L9" s="164"/>
      <c r="M9" s="165">
        <v>1900</v>
      </c>
      <c r="N9" s="164">
        <v>20</v>
      </c>
      <c r="O9" s="166"/>
      <c r="P9" s="164">
        <v>50</v>
      </c>
      <c r="Q9" s="188"/>
      <c r="R9" s="188"/>
    </row>
    <row r="10" spans="1:22" ht="15.6" x14ac:dyDescent="0.3">
      <c r="A10" s="269" t="s">
        <v>119</v>
      </c>
      <c r="B10" s="55" t="s">
        <v>120</v>
      </c>
      <c r="C10" s="52" t="s">
        <v>8</v>
      </c>
      <c r="D10" s="49">
        <v>2</v>
      </c>
      <c r="E10" s="222">
        <f t="shared" si="0"/>
        <v>305</v>
      </c>
      <c r="F10" s="222">
        <f t="shared" si="1"/>
        <v>610</v>
      </c>
      <c r="G10" s="188" t="s">
        <v>576</v>
      </c>
      <c r="H10" s="163">
        <f t="shared" si="2"/>
        <v>305</v>
      </c>
      <c r="I10" s="188" t="s">
        <v>1030</v>
      </c>
      <c r="J10" s="159"/>
      <c r="K10" s="164">
        <f t="shared" si="3"/>
        <v>305</v>
      </c>
      <c r="L10" s="164"/>
      <c r="M10" s="165">
        <v>285</v>
      </c>
      <c r="N10" s="164">
        <v>5</v>
      </c>
      <c r="O10" s="166"/>
      <c r="P10" s="164">
        <v>15</v>
      </c>
      <c r="Q10" s="188"/>
      <c r="R10" s="188"/>
    </row>
    <row r="11" spans="1:22" ht="15.6" x14ac:dyDescent="0.3">
      <c r="A11" s="269" t="s">
        <v>121</v>
      </c>
      <c r="B11" s="55" t="s">
        <v>122</v>
      </c>
      <c r="C11" s="52" t="s">
        <v>8</v>
      </c>
      <c r="D11" s="49">
        <v>10</v>
      </c>
      <c r="E11" s="222">
        <f t="shared" si="0"/>
        <v>140</v>
      </c>
      <c r="F11" s="222">
        <f t="shared" si="1"/>
        <v>1400</v>
      </c>
      <c r="G11" s="188" t="s">
        <v>576</v>
      </c>
      <c r="H11" s="163">
        <f t="shared" si="2"/>
        <v>140</v>
      </c>
      <c r="I11" s="188" t="s">
        <v>1030</v>
      </c>
      <c r="J11" s="159"/>
      <c r="K11" s="164">
        <f t="shared" si="3"/>
        <v>140</v>
      </c>
      <c r="L11" s="164"/>
      <c r="M11" s="165">
        <v>125</v>
      </c>
      <c r="N11" s="164">
        <v>5</v>
      </c>
      <c r="O11" s="166"/>
      <c r="P11" s="164">
        <v>10</v>
      </c>
      <c r="Q11" s="188"/>
      <c r="R11" s="188"/>
    </row>
    <row r="12" spans="1:22" ht="15.6" x14ac:dyDescent="0.3">
      <c r="A12" s="269" t="s">
        <v>123</v>
      </c>
      <c r="B12" s="55" t="s">
        <v>124</v>
      </c>
      <c r="C12" s="52" t="s">
        <v>9</v>
      </c>
      <c r="D12" s="49">
        <v>2</v>
      </c>
      <c r="E12" s="222">
        <f t="shared" si="0"/>
        <v>493</v>
      </c>
      <c r="F12" s="222">
        <f t="shared" si="1"/>
        <v>986</v>
      </c>
      <c r="G12" s="188" t="s">
        <v>576</v>
      </c>
      <c r="H12" s="163">
        <f t="shared" si="2"/>
        <v>493</v>
      </c>
      <c r="I12" s="188" t="s">
        <v>1030</v>
      </c>
      <c r="J12" s="159"/>
      <c r="K12" s="164">
        <f t="shared" si="3"/>
        <v>493</v>
      </c>
      <c r="L12" s="164"/>
      <c r="M12" s="165">
        <v>485</v>
      </c>
      <c r="N12" s="164">
        <v>5</v>
      </c>
      <c r="O12" s="166"/>
      <c r="P12" s="164">
        <v>3</v>
      </c>
      <c r="Q12" s="188"/>
      <c r="R12" s="188"/>
    </row>
    <row r="13" spans="1:22" ht="15.6" x14ac:dyDescent="0.3">
      <c r="A13" s="269" t="s">
        <v>125</v>
      </c>
      <c r="B13" s="55" t="s">
        <v>126</v>
      </c>
      <c r="C13" s="52" t="s">
        <v>9</v>
      </c>
      <c r="D13" s="49">
        <v>4</v>
      </c>
      <c r="E13" s="222">
        <f t="shared" si="0"/>
        <v>2210</v>
      </c>
      <c r="F13" s="222">
        <f t="shared" si="1"/>
        <v>8840</v>
      </c>
      <c r="G13" s="188" t="s">
        <v>576</v>
      </c>
      <c r="H13" s="163">
        <f t="shared" si="2"/>
        <v>2210</v>
      </c>
      <c r="I13" s="188" t="s">
        <v>577</v>
      </c>
      <c r="J13" s="159"/>
      <c r="K13" s="164">
        <f t="shared" si="3"/>
        <v>2210</v>
      </c>
      <c r="L13" s="164"/>
      <c r="M13" s="165">
        <v>2100</v>
      </c>
      <c r="N13" s="164">
        <v>100</v>
      </c>
      <c r="O13" s="166"/>
      <c r="P13" s="164">
        <v>10</v>
      </c>
      <c r="Q13" s="188"/>
      <c r="R13" s="188"/>
    </row>
    <row r="14" spans="1:22" ht="15.6" x14ac:dyDescent="0.3">
      <c r="A14" s="269" t="s">
        <v>127</v>
      </c>
      <c r="B14" s="55" t="s">
        <v>128</v>
      </c>
      <c r="C14" s="52" t="s">
        <v>9</v>
      </c>
      <c r="D14" s="49">
        <v>2</v>
      </c>
      <c r="E14" s="222">
        <f t="shared" si="0"/>
        <v>2710</v>
      </c>
      <c r="F14" s="222">
        <f t="shared" si="1"/>
        <v>5420</v>
      </c>
      <c r="G14" s="188" t="s">
        <v>576</v>
      </c>
      <c r="H14" s="163">
        <f t="shared" si="2"/>
        <v>2710</v>
      </c>
      <c r="I14" s="188" t="s">
        <v>577</v>
      </c>
      <c r="J14" s="159"/>
      <c r="K14" s="164">
        <f t="shared" si="3"/>
        <v>2710</v>
      </c>
      <c r="L14" s="164"/>
      <c r="M14" s="165">
        <v>2500</v>
      </c>
      <c r="N14" s="164">
        <v>200</v>
      </c>
      <c r="O14" s="166"/>
      <c r="P14" s="164">
        <v>10</v>
      </c>
      <c r="Q14" s="188"/>
      <c r="R14" s="188"/>
    </row>
    <row r="15" spans="1:22" ht="15.6" x14ac:dyDescent="0.3">
      <c r="A15" s="269" t="s">
        <v>129</v>
      </c>
      <c r="B15" s="55" t="s">
        <v>110</v>
      </c>
      <c r="C15" s="52" t="s">
        <v>45</v>
      </c>
      <c r="D15" s="49">
        <v>1</v>
      </c>
      <c r="E15" s="222">
        <f t="shared" si="0"/>
        <v>5000</v>
      </c>
      <c r="F15" s="222">
        <f t="shared" si="1"/>
        <v>5000</v>
      </c>
      <c r="G15" s="188" t="s">
        <v>576</v>
      </c>
      <c r="H15" s="163">
        <f t="shared" si="2"/>
        <v>5000</v>
      </c>
      <c r="I15" s="188" t="s">
        <v>1018</v>
      </c>
      <c r="J15" s="159"/>
      <c r="K15" s="164">
        <f t="shared" si="3"/>
        <v>5000</v>
      </c>
      <c r="L15" s="164"/>
      <c r="M15" s="165">
        <v>5000</v>
      </c>
      <c r="N15" s="164"/>
      <c r="O15" s="166"/>
      <c r="P15" s="164"/>
      <c r="Q15" s="188"/>
      <c r="R15" s="188"/>
    </row>
    <row r="16" spans="1:22" ht="15.6" x14ac:dyDescent="0.3">
      <c r="A16" s="269"/>
      <c r="B16" s="55"/>
      <c r="C16" s="52"/>
      <c r="D16" s="49"/>
      <c r="E16" s="50"/>
      <c r="F16" s="184"/>
      <c r="G16" s="180"/>
      <c r="H16" s="178"/>
      <c r="I16" s="178"/>
      <c r="J16" s="178"/>
      <c r="K16" s="178"/>
      <c r="L16" s="178"/>
      <c r="M16" s="218"/>
      <c r="N16" s="218"/>
      <c r="O16" s="218"/>
      <c r="P16" s="218"/>
      <c r="Q16" s="178"/>
      <c r="R16" s="178"/>
    </row>
    <row r="17" spans="1:18" ht="15.6" x14ac:dyDescent="0.3">
      <c r="A17" s="270">
        <v>16.190000000000001</v>
      </c>
      <c r="B17" s="57" t="s">
        <v>130</v>
      </c>
      <c r="C17" s="52"/>
      <c r="D17" s="49"/>
      <c r="E17" s="50"/>
      <c r="F17" s="184"/>
      <c r="G17" s="189" t="s">
        <v>1031</v>
      </c>
      <c r="H17" s="189"/>
      <c r="I17" s="189"/>
      <c r="J17" s="189"/>
      <c r="K17" s="238"/>
      <c r="L17" s="239"/>
      <c r="M17" s="239"/>
      <c r="N17" s="189"/>
      <c r="O17" s="189"/>
      <c r="P17" s="189"/>
      <c r="Q17" s="189"/>
      <c r="R17" s="189"/>
    </row>
    <row r="18" spans="1:18" ht="46.8" x14ac:dyDescent="0.3">
      <c r="A18" s="270"/>
      <c r="B18" s="51" t="s">
        <v>131</v>
      </c>
      <c r="C18" s="52"/>
      <c r="D18" s="52"/>
      <c r="E18" s="53"/>
      <c r="F18" s="184"/>
      <c r="G18" s="180"/>
      <c r="H18" s="178"/>
      <c r="I18" s="178"/>
      <c r="J18" s="178"/>
      <c r="K18" s="178"/>
      <c r="L18" s="178"/>
      <c r="M18" s="218"/>
      <c r="N18" s="218"/>
      <c r="O18" s="218"/>
      <c r="P18" s="218"/>
      <c r="Q18" s="178"/>
      <c r="R18" s="178"/>
    </row>
    <row r="19" spans="1:18" ht="15.6" x14ac:dyDescent="0.3">
      <c r="A19" s="269" t="s">
        <v>132</v>
      </c>
      <c r="B19" s="55" t="s">
        <v>133</v>
      </c>
      <c r="C19" s="52" t="s">
        <v>2</v>
      </c>
      <c r="D19" s="52">
        <v>560</v>
      </c>
      <c r="E19" s="222">
        <f t="shared" ref="E19:E27" si="4">ROUNDUP(H19*$J$2,0)</f>
        <v>19</v>
      </c>
      <c r="F19" s="222">
        <f t="shared" ref="F19:F27" si="5">D19*E19</f>
        <v>10640</v>
      </c>
      <c r="G19" s="188" t="s">
        <v>1024</v>
      </c>
      <c r="H19" s="163">
        <f t="shared" ref="H19:H28" si="6">K19</f>
        <v>19</v>
      </c>
      <c r="I19" s="188" t="s">
        <v>1029</v>
      </c>
      <c r="J19" s="159"/>
      <c r="K19" s="164">
        <f t="shared" ref="K19:K28" si="7">L19+M19+N19+O19+P19</f>
        <v>19</v>
      </c>
      <c r="L19" s="164"/>
      <c r="M19" s="165">
        <v>15</v>
      </c>
      <c r="N19" s="164">
        <v>1</v>
      </c>
      <c r="O19" s="166"/>
      <c r="P19" s="164">
        <v>3</v>
      </c>
      <c r="Q19" s="188"/>
      <c r="R19" s="188"/>
    </row>
    <row r="20" spans="1:18" ht="15.6" x14ac:dyDescent="0.3">
      <c r="A20" s="269" t="s">
        <v>134</v>
      </c>
      <c r="B20" s="55" t="s">
        <v>135</v>
      </c>
      <c r="C20" s="52" t="s">
        <v>2</v>
      </c>
      <c r="D20" s="52">
        <v>800</v>
      </c>
      <c r="E20" s="222">
        <f t="shared" si="4"/>
        <v>19</v>
      </c>
      <c r="F20" s="222">
        <f t="shared" si="5"/>
        <v>15200</v>
      </c>
      <c r="G20" s="188" t="s">
        <v>1024</v>
      </c>
      <c r="H20" s="163">
        <f t="shared" si="6"/>
        <v>19</v>
      </c>
      <c r="I20" s="188" t="s">
        <v>1029</v>
      </c>
      <c r="J20" s="159"/>
      <c r="K20" s="164">
        <f t="shared" si="7"/>
        <v>19</v>
      </c>
      <c r="L20" s="164"/>
      <c r="M20" s="165">
        <v>15</v>
      </c>
      <c r="N20" s="164">
        <v>1</v>
      </c>
      <c r="O20" s="166"/>
      <c r="P20" s="164">
        <v>3</v>
      </c>
      <c r="Q20" s="188"/>
      <c r="R20" s="188"/>
    </row>
    <row r="21" spans="1:18" ht="15.6" x14ac:dyDescent="0.3">
      <c r="A21" s="269" t="s">
        <v>136</v>
      </c>
      <c r="B21" s="55" t="s">
        <v>137</v>
      </c>
      <c r="C21" s="52" t="s">
        <v>8</v>
      </c>
      <c r="D21" s="49">
        <v>8</v>
      </c>
      <c r="E21" s="222">
        <f t="shared" si="4"/>
        <v>703</v>
      </c>
      <c r="F21" s="222">
        <f t="shared" si="5"/>
        <v>5624</v>
      </c>
      <c r="G21" s="188" t="s">
        <v>1024</v>
      </c>
      <c r="H21" s="163">
        <f t="shared" si="6"/>
        <v>703</v>
      </c>
      <c r="I21" s="188" t="s">
        <v>1032</v>
      </c>
      <c r="J21" s="159"/>
      <c r="K21" s="164">
        <f t="shared" si="7"/>
        <v>703</v>
      </c>
      <c r="L21" s="164"/>
      <c r="M21" s="165">
        <v>685</v>
      </c>
      <c r="N21" s="164">
        <v>10</v>
      </c>
      <c r="O21" s="166"/>
      <c r="P21" s="164">
        <v>8</v>
      </c>
      <c r="Q21" s="188"/>
      <c r="R21" s="188"/>
    </row>
    <row r="22" spans="1:18" ht="15.6" x14ac:dyDescent="0.3">
      <c r="A22" s="269" t="s">
        <v>138</v>
      </c>
      <c r="B22" s="55" t="s">
        <v>139</v>
      </c>
      <c r="C22" s="52" t="s">
        <v>8</v>
      </c>
      <c r="D22" s="49">
        <v>4</v>
      </c>
      <c r="E22" s="222">
        <f t="shared" si="4"/>
        <v>613</v>
      </c>
      <c r="F22" s="222">
        <f t="shared" si="5"/>
        <v>2452</v>
      </c>
      <c r="G22" s="188" t="s">
        <v>1024</v>
      </c>
      <c r="H22" s="163">
        <f t="shared" si="6"/>
        <v>613</v>
      </c>
      <c r="I22" s="188" t="s">
        <v>1032</v>
      </c>
      <c r="J22" s="159"/>
      <c r="K22" s="164">
        <f t="shared" si="7"/>
        <v>613</v>
      </c>
      <c r="L22" s="164"/>
      <c r="M22" s="165">
        <v>595</v>
      </c>
      <c r="N22" s="164">
        <v>10</v>
      </c>
      <c r="O22" s="166"/>
      <c r="P22" s="164">
        <v>8</v>
      </c>
      <c r="Q22" s="188"/>
      <c r="R22" s="188"/>
    </row>
    <row r="23" spans="1:18" ht="15.6" x14ac:dyDescent="0.3">
      <c r="A23" s="269" t="s">
        <v>140</v>
      </c>
      <c r="B23" s="55" t="s">
        <v>141</v>
      </c>
      <c r="C23" s="52" t="s">
        <v>8</v>
      </c>
      <c r="D23" s="49">
        <v>1</v>
      </c>
      <c r="E23" s="222">
        <f t="shared" si="4"/>
        <v>4700</v>
      </c>
      <c r="F23" s="222">
        <f t="shared" si="5"/>
        <v>4700</v>
      </c>
      <c r="G23" s="188" t="s">
        <v>1024</v>
      </c>
      <c r="H23" s="163">
        <f t="shared" si="6"/>
        <v>4700</v>
      </c>
      <c r="I23" s="188" t="s">
        <v>1033</v>
      </c>
      <c r="J23" s="159"/>
      <c r="K23" s="164">
        <f t="shared" si="7"/>
        <v>4700</v>
      </c>
      <c r="L23" s="164"/>
      <c r="M23" s="165">
        <v>4500</v>
      </c>
      <c r="N23" s="164">
        <v>100</v>
      </c>
      <c r="O23" s="166"/>
      <c r="P23" s="164">
        <v>100</v>
      </c>
      <c r="Q23" s="188"/>
      <c r="R23" s="188"/>
    </row>
    <row r="24" spans="1:18" ht="15.6" x14ac:dyDescent="0.3">
      <c r="A24" s="269" t="s">
        <v>142</v>
      </c>
      <c r="B24" s="55" t="s">
        <v>143</v>
      </c>
      <c r="C24" s="52" t="s">
        <v>8</v>
      </c>
      <c r="D24" s="49">
        <v>1</v>
      </c>
      <c r="E24" s="222">
        <f t="shared" si="4"/>
        <v>4000</v>
      </c>
      <c r="F24" s="222">
        <f t="shared" si="5"/>
        <v>4000</v>
      </c>
      <c r="G24" s="188" t="s">
        <v>1024</v>
      </c>
      <c r="H24" s="163">
        <f t="shared" si="6"/>
        <v>4000</v>
      </c>
      <c r="I24" s="188" t="s">
        <v>1032</v>
      </c>
      <c r="J24" s="159"/>
      <c r="K24" s="164">
        <f t="shared" si="7"/>
        <v>4000</v>
      </c>
      <c r="L24" s="164"/>
      <c r="M24" s="165">
        <v>3850</v>
      </c>
      <c r="N24" s="164">
        <v>50</v>
      </c>
      <c r="O24" s="166"/>
      <c r="P24" s="164">
        <v>100</v>
      </c>
      <c r="Q24" s="188"/>
      <c r="R24" s="188"/>
    </row>
    <row r="25" spans="1:18" ht="15.6" x14ac:dyDescent="0.3">
      <c r="A25" s="269" t="s">
        <v>144</v>
      </c>
      <c r="B25" s="55" t="s">
        <v>145</v>
      </c>
      <c r="C25" s="52" t="s">
        <v>8</v>
      </c>
      <c r="D25" s="49">
        <v>1</v>
      </c>
      <c r="E25" s="222">
        <f t="shared" si="4"/>
        <v>3267</v>
      </c>
      <c r="F25" s="222">
        <f t="shared" si="5"/>
        <v>3267</v>
      </c>
      <c r="G25" s="188" t="s">
        <v>1024</v>
      </c>
      <c r="H25" s="163">
        <f t="shared" si="6"/>
        <v>3267</v>
      </c>
      <c r="I25" s="188" t="s">
        <v>1034</v>
      </c>
      <c r="J25" s="159"/>
      <c r="K25" s="164">
        <f t="shared" si="7"/>
        <v>3267</v>
      </c>
      <c r="L25" s="164">
        <v>317</v>
      </c>
      <c r="M25" s="165">
        <v>2850</v>
      </c>
      <c r="N25" s="164">
        <v>50</v>
      </c>
      <c r="O25" s="166"/>
      <c r="P25" s="164">
        <v>50</v>
      </c>
      <c r="Q25" s="188"/>
      <c r="R25" s="188"/>
    </row>
    <row r="26" spans="1:18" ht="15.6" x14ac:dyDescent="0.3">
      <c r="A26" s="269" t="s">
        <v>146</v>
      </c>
      <c r="B26" s="55" t="s">
        <v>147</v>
      </c>
      <c r="C26" s="52" t="s">
        <v>45</v>
      </c>
      <c r="D26" s="49">
        <v>1</v>
      </c>
      <c r="E26" s="222">
        <f t="shared" si="4"/>
        <v>2310</v>
      </c>
      <c r="F26" s="222">
        <f t="shared" si="5"/>
        <v>2310</v>
      </c>
      <c r="G26" s="188" t="s">
        <v>1024</v>
      </c>
      <c r="H26" s="163">
        <f t="shared" si="6"/>
        <v>2310</v>
      </c>
      <c r="I26" s="188" t="s">
        <v>1035</v>
      </c>
      <c r="J26" s="159"/>
      <c r="K26" s="164">
        <f t="shared" si="7"/>
        <v>2310</v>
      </c>
      <c r="L26" s="164"/>
      <c r="M26" s="165">
        <v>2200</v>
      </c>
      <c r="N26" s="164">
        <v>100</v>
      </c>
      <c r="O26" s="166"/>
      <c r="P26" s="164">
        <v>10</v>
      </c>
      <c r="Q26" s="188"/>
      <c r="R26" s="188"/>
    </row>
    <row r="27" spans="1:18" ht="15.6" x14ac:dyDescent="0.3">
      <c r="A27" s="269" t="s">
        <v>148</v>
      </c>
      <c r="B27" s="55" t="s">
        <v>149</v>
      </c>
      <c r="C27" s="52" t="s">
        <v>45</v>
      </c>
      <c r="D27" s="49">
        <v>1</v>
      </c>
      <c r="E27" s="222">
        <f t="shared" si="4"/>
        <v>5700</v>
      </c>
      <c r="F27" s="222">
        <f t="shared" si="5"/>
        <v>5700</v>
      </c>
      <c r="G27" s="188" t="s">
        <v>1024</v>
      </c>
      <c r="H27" s="163">
        <f t="shared" si="6"/>
        <v>5700</v>
      </c>
      <c r="I27" s="188" t="s">
        <v>1018</v>
      </c>
      <c r="J27" s="159"/>
      <c r="K27" s="164">
        <f t="shared" si="7"/>
        <v>5700</v>
      </c>
      <c r="L27" s="164"/>
      <c r="M27" s="165">
        <v>5500</v>
      </c>
      <c r="N27" s="164">
        <v>200</v>
      </c>
      <c r="O27" s="166"/>
      <c r="P27" s="164"/>
      <c r="Q27" s="188"/>
      <c r="R27" s="188"/>
    </row>
    <row r="28" spans="1:18" ht="15.6" x14ac:dyDescent="0.3">
      <c r="A28" s="269"/>
      <c r="B28" s="55"/>
      <c r="C28" s="52"/>
      <c r="D28" s="49"/>
      <c r="E28" s="50"/>
      <c r="F28" s="184"/>
      <c r="G28" s="188" t="s">
        <v>1024</v>
      </c>
      <c r="H28" s="163">
        <f t="shared" si="6"/>
        <v>0</v>
      </c>
      <c r="I28" s="188"/>
      <c r="J28" s="159"/>
      <c r="K28" s="164">
        <f t="shared" si="7"/>
        <v>0</v>
      </c>
      <c r="L28" s="164"/>
      <c r="M28" s="165"/>
      <c r="N28" s="164"/>
      <c r="O28" s="166"/>
      <c r="P28" s="164"/>
      <c r="Q28" s="188"/>
      <c r="R28" s="188"/>
    </row>
    <row r="29" spans="1:18" ht="15.6" x14ac:dyDescent="0.3">
      <c r="A29" s="271">
        <v>16.18</v>
      </c>
      <c r="B29" s="57" t="s">
        <v>150</v>
      </c>
      <c r="C29" s="52"/>
      <c r="D29" s="49"/>
      <c r="E29" s="50"/>
      <c r="F29" s="184"/>
      <c r="G29" s="189" t="s">
        <v>1022</v>
      </c>
      <c r="H29" s="189"/>
      <c r="I29" s="189"/>
      <c r="J29" s="189"/>
      <c r="K29" s="238"/>
      <c r="L29" s="239"/>
      <c r="M29" s="239"/>
      <c r="N29" s="189"/>
      <c r="O29" s="189"/>
      <c r="P29" s="189"/>
      <c r="Q29" s="189"/>
      <c r="R29" s="189"/>
    </row>
    <row r="30" spans="1:18" ht="46.8" x14ac:dyDescent="0.3">
      <c r="A30" s="270"/>
      <c r="B30" s="51" t="s">
        <v>151</v>
      </c>
      <c r="C30" s="52"/>
      <c r="D30" s="62"/>
      <c r="E30" s="58"/>
      <c r="F30" s="184"/>
      <c r="G30" s="180"/>
      <c r="H30" s="178"/>
      <c r="I30" s="178"/>
      <c r="J30" s="178"/>
      <c r="K30" s="178"/>
      <c r="L30" s="178"/>
      <c r="M30" s="218"/>
      <c r="N30" s="218"/>
      <c r="O30" s="218"/>
      <c r="P30" s="218"/>
      <c r="Q30" s="236" t="s">
        <v>970</v>
      </c>
      <c r="R30" s="178"/>
    </row>
    <row r="31" spans="1:18" ht="15.6" x14ac:dyDescent="0.3">
      <c r="A31" s="269" t="s">
        <v>152</v>
      </c>
      <c r="B31" s="55" t="s">
        <v>153</v>
      </c>
      <c r="C31" s="52" t="s">
        <v>2</v>
      </c>
      <c r="D31" s="52">
        <v>650</v>
      </c>
      <c r="E31" s="222">
        <f t="shared" ref="E31:E36" si="8">ROUNDUP(H31*$J$2,0)</f>
        <v>19</v>
      </c>
      <c r="F31" s="222">
        <f t="shared" ref="F31:F36" si="9">D31*E31</f>
        <v>12350</v>
      </c>
      <c r="G31" s="188" t="s">
        <v>956</v>
      </c>
      <c r="H31" s="163">
        <f t="shared" ref="H31:H37" si="10">K31</f>
        <v>19</v>
      </c>
      <c r="I31" s="188"/>
      <c r="J31" s="159"/>
      <c r="K31" s="164">
        <f t="shared" ref="K31:K37" si="11">L31+M31+N31+O31+P31</f>
        <v>19</v>
      </c>
      <c r="L31" s="164"/>
      <c r="M31" s="165">
        <v>15</v>
      </c>
      <c r="N31" s="164">
        <v>1</v>
      </c>
      <c r="O31" s="166"/>
      <c r="P31" s="164">
        <v>3</v>
      </c>
      <c r="Q31" s="188"/>
      <c r="R31" s="188"/>
    </row>
    <row r="32" spans="1:18" ht="15.6" x14ac:dyDescent="0.3">
      <c r="A32" s="269" t="s">
        <v>154</v>
      </c>
      <c r="B32" s="55" t="s">
        <v>155</v>
      </c>
      <c r="C32" s="52" t="s">
        <v>2</v>
      </c>
      <c r="D32" s="52">
        <v>1100</v>
      </c>
      <c r="E32" s="222">
        <f t="shared" si="8"/>
        <v>7</v>
      </c>
      <c r="F32" s="222">
        <f t="shared" si="9"/>
        <v>7700</v>
      </c>
      <c r="G32" s="188" t="s">
        <v>956</v>
      </c>
      <c r="H32" s="163">
        <f t="shared" si="10"/>
        <v>6.5</v>
      </c>
      <c r="I32" s="188"/>
      <c r="J32" s="159"/>
      <c r="K32" s="164">
        <f t="shared" si="11"/>
        <v>6.5</v>
      </c>
      <c r="L32" s="164"/>
      <c r="M32" s="165">
        <v>4</v>
      </c>
      <c r="N32" s="164">
        <v>2</v>
      </c>
      <c r="O32" s="166"/>
      <c r="P32" s="164">
        <v>0.5</v>
      </c>
      <c r="Q32" s="188"/>
      <c r="R32" s="188"/>
    </row>
    <row r="33" spans="1:18" ht="22.8" x14ac:dyDescent="0.3">
      <c r="A33" s="269" t="s">
        <v>156</v>
      </c>
      <c r="B33" s="55" t="s">
        <v>157</v>
      </c>
      <c r="C33" s="52" t="s">
        <v>8</v>
      </c>
      <c r="D33" s="49">
        <v>8</v>
      </c>
      <c r="E33" s="222">
        <f t="shared" si="8"/>
        <v>2235</v>
      </c>
      <c r="F33" s="222">
        <f t="shared" si="9"/>
        <v>17880</v>
      </c>
      <c r="G33" s="188" t="s">
        <v>956</v>
      </c>
      <c r="H33" s="163">
        <f t="shared" si="10"/>
        <v>2235</v>
      </c>
      <c r="I33" s="188" t="s">
        <v>950</v>
      </c>
      <c r="J33" s="159"/>
      <c r="K33" s="164">
        <f t="shared" si="11"/>
        <v>2235</v>
      </c>
      <c r="L33" s="164"/>
      <c r="M33" s="165">
        <v>2200</v>
      </c>
      <c r="N33" s="164">
        <v>20</v>
      </c>
      <c r="O33" s="166"/>
      <c r="P33" s="164">
        <v>15</v>
      </c>
      <c r="Q33" s="188" t="s">
        <v>1014</v>
      </c>
      <c r="R33" s="188"/>
    </row>
    <row r="34" spans="1:18" ht="15.6" x14ac:dyDescent="0.3">
      <c r="A34" s="269" t="s">
        <v>158</v>
      </c>
      <c r="B34" s="55" t="s">
        <v>159</v>
      </c>
      <c r="C34" s="52" t="s">
        <v>8</v>
      </c>
      <c r="D34" s="49">
        <v>8</v>
      </c>
      <c r="E34" s="222">
        <f t="shared" si="8"/>
        <v>3535</v>
      </c>
      <c r="F34" s="222">
        <f t="shared" si="9"/>
        <v>28280</v>
      </c>
      <c r="G34" s="188" t="s">
        <v>956</v>
      </c>
      <c r="H34" s="163">
        <f t="shared" si="10"/>
        <v>3535</v>
      </c>
      <c r="I34" s="188" t="s">
        <v>950</v>
      </c>
      <c r="J34" s="159"/>
      <c r="K34" s="164">
        <f t="shared" si="11"/>
        <v>3535</v>
      </c>
      <c r="L34" s="164"/>
      <c r="M34" s="165">
        <v>3500</v>
      </c>
      <c r="N34" s="164">
        <v>20</v>
      </c>
      <c r="O34" s="166"/>
      <c r="P34" s="164">
        <v>15</v>
      </c>
      <c r="Q34" s="188" t="s">
        <v>1015</v>
      </c>
      <c r="R34" s="188"/>
    </row>
    <row r="35" spans="1:18" ht="15.6" x14ac:dyDescent="0.3">
      <c r="A35" s="269" t="s">
        <v>160</v>
      </c>
      <c r="B35" s="55" t="s">
        <v>161</v>
      </c>
      <c r="C35" s="52" t="s">
        <v>8</v>
      </c>
      <c r="D35" s="49">
        <v>1</v>
      </c>
      <c r="E35" s="222">
        <f t="shared" si="8"/>
        <v>4535</v>
      </c>
      <c r="F35" s="222">
        <f t="shared" si="9"/>
        <v>4535</v>
      </c>
      <c r="G35" s="188" t="s">
        <v>956</v>
      </c>
      <c r="H35" s="163">
        <f t="shared" si="10"/>
        <v>4535</v>
      </c>
      <c r="I35" s="188" t="s">
        <v>950</v>
      </c>
      <c r="J35" s="159"/>
      <c r="K35" s="164">
        <f t="shared" si="11"/>
        <v>4535</v>
      </c>
      <c r="L35" s="164"/>
      <c r="M35" s="165">
        <v>4500</v>
      </c>
      <c r="N35" s="164">
        <v>20</v>
      </c>
      <c r="O35" s="166"/>
      <c r="P35" s="164">
        <v>15</v>
      </c>
      <c r="Q35" s="188" t="s">
        <v>1017</v>
      </c>
      <c r="R35" s="188"/>
    </row>
    <row r="36" spans="1:18" ht="15.6" x14ac:dyDescent="0.3">
      <c r="A36" s="269" t="s">
        <v>162</v>
      </c>
      <c r="B36" s="55" t="s">
        <v>149</v>
      </c>
      <c r="C36" s="52" t="s">
        <v>45</v>
      </c>
      <c r="D36" s="49">
        <v>1</v>
      </c>
      <c r="E36" s="222">
        <f t="shared" si="8"/>
        <v>8300</v>
      </c>
      <c r="F36" s="222">
        <f t="shared" si="9"/>
        <v>8300</v>
      </c>
      <c r="G36" s="188" t="s">
        <v>956</v>
      </c>
      <c r="H36" s="163">
        <f t="shared" si="10"/>
        <v>8300</v>
      </c>
      <c r="I36" s="188" t="s">
        <v>1018</v>
      </c>
      <c r="J36" s="159"/>
      <c r="K36" s="164">
        <f t="shared" si="11"/>
        <v>8300</v>
      </c>
      <c r="L36" s="164"/>
      <c r="M36" s="165">
        <v>8000</v>
      </c>
      <c r="N36" s="164">
        <v>200</v>
      </c>
      <c r="O36" s="166"/>
      <c r="P36" s="164">
        <v>100</v>
      </c>
      <c r="Q36" s="188"/>
      <c r="R36" s="188"/>
    </row>
    <row r="37" spans="1:18" ht="15.6" x14ac:dyDescent="0.3">
      <c r="A37" s="269"/>
      <c r="B37" s="55"/>
      <c r="C37" s="52"/>
      <c r="D37" s="49"/>
      <c r="E37" s="50"/>
      <c r="F37" s="184"/>
      <c r="G37" s="188" t="s">
        <v>1024</v>
      </c>
      <c r="H37" s="163">
        <f t="shared" si="10"/>
        <v>0</v>
      </c>
      <c r="I37" s="188"/>
      <c r="J37" s="159"/>
      <c r="K37" s="164">
        <f t="shared" si="11"/>
        <v>0</v>
      </c>
      <c r="L37" s="164"/>
      <c r="M37" s="165"/>
      <c r="N37" s="164"/>
      <c r="O37" s="166"/>
      <c r="P37" s="164"/>
      <c r="Q37" s="188"/>
      <c r="R37" s="188"/>
    </row>
    <row r="38" spans="1:18" ht="15.6" x14ac:dyDescent="0.3">
      <c r="A38" s="269"/>
      <c r="B38" s="55"/>
      <c r="C38" s="52"/>
      <c r="D38" s="49"/>
      <c r="E38" s="50"/>
      <c r="F38" s="184"/>
      <c r="G38" s="180"/>
      <c r="H38" s="178"/>
      <c r="I38" s="178"/>
      <c r="J38" s="178"/>
      <c r="K38" s="178"/>
      <c r="L38" s="178"/>
      <c r="M38" s="218"/>
      <c r="N38" s="218"/>
      <c r="O38" s="218"/>
      <c r="P38" s="218"/>
      <c r="Q38" s="178"/>
      <c r="R38" s="178"/>
    </row>
    <row r="39" spans="1:18" ht="15.6" x14ac:dyDescent="0.3">
      <c r="A39" s="270">
        <v>16.190000000000001</v>
      </c>
      <c r="B39" s="57" t="s">
        <v>163</v>
      </c>
      <c r="C39" s="52"/>
      <c r="D39" s="49"/>
      <c r="E39" s="50"/>
      <c r="F39" s="184"/>
      <c r="G39" s="189" t="s">
        <v>579</v>
      </c>
      <c r="H39" s="189"/>
      <c r="I39" s="189"/>
      <c r="J39" s="189"/>
      <c r="K39" s="238"/>
      <c r="L39" s="239"/>
      <c r="M39" s="239"/>
      <c r="N39" s="189"/>
      <c r="O39" s="189"/>
      <c r="P39" s="189"/>
      <c r="Q39" s="189"/>
      <c r="R39" s="189"/>
    </row>
    <row r="40" spans="1:18" ht="46.8" x14ac:dyDescent="0.3">
      <c r="A40" s="270"/>
      <c r="B40" s="51" t="s">
        <v>164</v>
      </c>
      <c r="C40" s="52"/>
      <c r="D40" s="49"/>
      <c r="E40" s="50"/>
      <c r="F40" s="184"/>
      <c r="G40" s="180"/>
      <c r="H40" s="178"/>
      <c r="I40" s="178"/>
      <c r="J40" s="178"/>
      <c r="K40" s="178"/>
      <c r="L40" s="178"/>
      <c r="M40" s="218"/>
      <c r="N40" s="218"/>
      <c r="O40" s="218"/>
      <c r="P40" s="218"/>
      <c r="Q40" s="236"/>
      <c r="R40" s="178"/>
    </row>
    <row r="41" spans="1:18" ht="15.6" x14ac:dyDescent="0.3">
      <c r="A41" s="269" t="s">
        <v>165</v>
      </c>
      <c r="B41" s="55" t="s">
        <v>328</v>
      </c>
      <c r="C41" s="52" t="s">
        <v>2</v>
      </c>
      <c r="D41" s="52">
        <v>2300</v>
      </c>
      <c r="E41" s="222">
        <f t="shared" ref="E41:E49" si="12">ROUNDUP(H41*$J$2,0)</f>
        <v>19</v>
      </c>
      <c r="F41" s="222">
        <f t="shared" ref="F41:F49" si="13">D41*E41</f>
        <v>43700</v>
      </c>
      <c r="G41" s="188" t="s">
        <v>578</v>
      </c>
      <c r="H41" s="163">
        <f t="shared" ref="H41:H49" si="14">K41</f>
        <v>19</v>
      </c>
      <c r="I41" s="188" t="s">
        <v>577</v>
      </c>
      <c r="J41" s="159"/>
      <c r="K41" s="164">
        <f t="shared" ref="K41:K49" si="15">L41+M41+N41+O41+P41</f>
        <v>19</v>
      </c>
      <c r="L41" s="164"/>
      <c r="M41" s="165">
        <v>15</v>
      </c>
      <c r="N41" s="164">
        <v>1</v>
      </c>
      <c r="O41" s="166"/>
      <c r="P41" s="164">
        <v>3</v>
      </c>
      <c r="Q41" s="188"/>
      <c r="R41" s="188"/>
    </row>
    <row r="42" spans="1:18" ht="15.6" x14ac:dyDescent="0.3">
      <c r="A42" s="269" t="s">
        <v>166</v>
      </c>
      <c r="B42" s="55" t="s">
        <v>327</v>
      </c>
      <c r="C42" s="52" t="s">
        <v>2</v>
      </c>
      <c r="D42" s="52">
        <v>3900</v>
      </c>
      <c r="E42" s="222">
        <f t="shared" si="12"/>
        <v>7</v>
      </c>
      <c r="F42" s="222">
        <f t="shared" si="13"/>
        <v>27300</v>
      </c>
      <c r="G42" s="188" t="s">
        <v>578</v>
      </c>
      <c r="H42" s="163">
        <f t="shared" si="14"/>
        <v>6.5</v>
      </c>
      <c r="I42" s="188" t="s">
        <v>577</v>
      </c>
      <c r="J42" s="159"/>
      <c r="K42" s="164">
        <f t="shared" si="15"/>
        <v>6.5</v>
      </c>
      <c r="L42" s="164"/>
      <c r="M42" s="165">
        <v>4</v>
      </c>
      <c r="N42" s="164">
        <v>2</v>
      </c>
      <c r="O42" s="166"/>
      <c r="P42" s="164">
        <v>0.5</v>
      </c>
      <c r="Q42" s="188"/>
      <c r="R42" s="188"/>
    </row>
    <row r="43" spans="1:18" ht="15.6" x14ac:dyDescent="0.3">
      <c r="A43" s="269" t="s">
        <v>167</v>
      </c>
      <c r="B43" s="55" t="s">
        <v>168</v>
      </c>
      <c r="C43" s="52" t="s">
        <v>8</v>
      </c>
      <c r="D43" s="49">
        <v>30</v>
      </c>
      <c r="E43" s="222">
        <f t="shared" si="12"/>
        <v>1460</v>
      </c>
      <c r="F43" s="222">
        <f t="shared" si="13"/>
        <v>43800</v>
      </c>
      <c r="G43" s="188" t="s">
        <v>1025</v>
      </c>
      <c r="H43" s="163">
        <f t="shared" si="14"/>
        <v>1460</v>
      </c>
      <c r="I43" s="188" t="s">
        <v>577</v>
      </c>
      <c r="J43" s="159"/>
      <c r="K43" s="164">
        <f t="shared" si="15"/>
        <v>1460</v>
      </c>
      <c r="L43" s="164"/>
      <c r="M43" s="165">
        <v>1400</v>
      </c>
      <c r="N43" s="164">
        <v>50</v>
      </c>
      <c r="O43" s="166"/>
      <c r="P43" s="164">
        <v>10</v>
      </c>
      <c r="Q43" s="188"/>
      <c r="R43" s="188"/>
    </row>
    <row r="44" spans="1:18" ht="15.6" x14ac:dyDescent="0.3">
      <c r="A44" s="269" t="s">
        <v>169</v>
      </c>
      <c r="B44" s="55" t="s">
        <v>170</v>
      </c>
      <c r="C44" s="52" t="s">
        <v>8</v>
      </c>
      <c r="D44" s="49">
        <v>30</v>
      </c>
      <c r="E44" s="222">
        <f t="shared" si="12"/>
        <v>190</v>
      </c>
      <c r="F44" s="222">
        <f t="shared" si="13"/>
        <v>5700</v>
      </c>
      <c r="G44" s="188" t="s">
        <v>1025</v>
      </c>
      <c r="H44" s="163">
        <f t="shared" si="14"/>
        <v>190</v>
      </c>
      <c r="I44" s="188" t="s">
        <v>1036</v>
      </c>
      <c r="J44" s="159"/>
      <c r="K44" s="164">
        <f t="shared" si="15"/>
        <v>190</v>
      </c>
      <c r="L44" s="164"/>
      <c r="M44" s="165">
        <v>185</v>
      </c>
      <c r="N44" s="164">
        <v>5</v>
      </c>
      <c r="O44" s="166"/>
      <c r="P44" s="164"/>
      <c r="Q44" s="188"/>
      <c r="R44" s="188"/>
    </row>
    <row r="45" spans="1:18" ht="15.6" x14ac:dyDescent="0.3">
      <c r="A45" s="269" t="s">
        <v>171</v>
      </c>
      <c r="B45" s="55" t="s">
        <v>172</v>
      </c>
      <c r="C45" s="52" t="s">
        <v>8</v>
      </c>
      <c r="D45" s="49">
        <v>1</v>
      </c>
      <c r="E45" s="222">
        <f t="shared" si="12"/>
        <v>1895</v>
      </c>
      <c r="F45" s="222">
        <f t="shared" si="13"/>
        <v>1895</v>
      </c>
      <c r="G45" s="188" t="s">
        <v>1025</v>
      </c>
      <c r="H45" s="163">
        <f t="shared" si="14"/>
        <v>1895</v>
      </c>
      <c r="I45" s="188" t="s">
        <v>577</v>
      </c>
      <c r="J45" s="159"/>
      <c r="K45" s="164">
        <f t="shared" si="15"/>
        <v>1895</v>
      </c>
      <c r="L45" s="164"/>
      <c r="M45" s="165">
        <v>1850</v>
      </c>
      <c r="N45" s="164">
        <v>40</v>
      </c>
      <c r="O45" s="166"/>
      <c r="P45" s="164">
        <v>5</v>
      </c>
      <c r="Q45" s="188"/>
      <c r="R45" s="188"/>
    </row>
    <row r="46" spans="1:18" ht="15.6" x14ac:dyDescent="0.3">
      <c r="A46" s="269" t="s">
        <v>173</v>
      </c>
      <c r="B46" s="55" t="s">
        <v>174</v>
      </c>
      <c r="C46" s="52" t="s">
        <v>8</v>
      </c>
      <c r="D46" s="49">
        <v>1</v>
      </c>
      <c r="E46" s="222">
        <f t="shared" si="12"/>
        <v>0</v>
      </c>
      <c r="F46" s="222">
        <f t="shared" si="13"/>
        <v>0</v>
      </c>
      <c r="G46" s="188" t="s">
        <v>1025</v>
      </c>
      <c r="H46" s="163">
        <f t="shared" si="14"/>
        <v>0</v>
      </c>
      <c r="I46" s="188"/>
      <c r="J46" s="159"/>
      <c r="K46" s="164">
        <f t="shared" si="15"/>
        <v>0</v>
      </c>
      <c r="L46" s="164"/>
      <c r="M46" s="165"/>
      <c r="N46" s="164"/>
      <c r="O46" s="166"/>
      <c r="P46" s="164"/>
      <c r="Q46" s="188"/>
      <c r="R46" s="188"/>
    </row>
    <row r="47" spans="1:18" ht="15.6" x14ac:dyDescent="0.3">
      <c r="A47" s="269" t="s">
        <v>175</v>
      </c>
      <c r="B47" s="55" t="s">
        <v>176</v>
      </c>
      <c r="C47" s="52" t="s">
        <v>8</v>
      </c>
      <c r="D47" s="49">
        <v>1</v>
      </c>
      <c r="E47" s="222">
        <f t="shared" si="12"/>
        <v>0</v>
      </c>
      <c r="F47" s="222">
        <f t="shared" si="13"/>
        <v>0</v>
      </c>
      <c r="G47" s="188" t="s">
        <v>1025</v>
      </c>
      <c r="H47" s="163">
        <f t="shared" si="14"/>
        <v>0</v>
      </c>
      <c r="I47" s="188"/>
      <c r="J47" s="159"/>
      <c r="K47" s="164">
        <f t="shared" si="15"/>
        <v>0</v>
      </c>
      <c r="L47" s="164"/>
      <c r="M47" s="165"/>
      <c r="N47" s="164"/>
      <c r="O47" s="166"/>
      <c r="P47" s="164"/>
      <c r="Q47" s="188"/>
      <c r="R47" s="188"/>
    </row>
    <row r="48" spans="1:18" ht="15.6" x14ac:dyDescent="0.3">
      <c r="A48" s="269" t="s">
        <v>177</v>
      </c>
      <c r="B48" s="55" t="s">
        <v>178</v>
      </c>
      <c r="C48" s="52" t="s">
        <v>8</v>
      </c>
      <c r="D48" s="49">
        <v>1</v>
      </c>
      <c r="E48" s="222">
        <f t="shared" si="12"/>
        <v>2950</v>
      </c>
      <c r="F48" s="222">
        <f t="shared" si="13"/>
        <v>2950</v>
      </c>
      <c r="G48" s="188" t="s">
        <v>1025</v>
      </c>
      <c r="H48" s="163">
        <f t="shared" si="14"/>
        <v>2950</v>
      </c>
      <c r="I48" s="188" t="s">
        <v>1033</v>
      </c>
      <c r="J48" s="159"/>
      <c r="K48" s="164">
        <f t="shared" si="15"/>
        <v>2950</v>
      </c>
      <c r="L48" s="164"/>
      <c r="M48" s="165">
        <v>2850</v>
      </c>
      <c r="N48" s="164">
        <v>50</v>
      </c>
      <c r="O48" s="166"/>
      <c r="P48" s="164">
        <v>50</v>
      </c>
      <c r="Q48" s="188"/>
      <c r="R48" s="188"/>
    </row>
    <row r="49" spans="1:18" ht="15.6" x14ac:dyDescent="0.3">
      <c r="A49" s="269" t="s">
        <v>179</v>
      </c>
      <c r="B49" s="55" t="s">
        <v>180</v>
      </c>
      <c r="C49" s="52" t="s">
        <v>45</v>
      </c>
      <c r="D49" s="49">
        <v>1</v>
      </c>
      <c r="E49" s="222">
        <f t="shared" si="12"/>
        <v>6500</v>
      </c>
      <c r="F49" s="222">
        <f t="shared" si="13"/>
        <v>6500</v>
      </c>
      <c r="G49" s="188" t="s">
        <v>1025</v>
      </c>
      <c r="H49" s="163">
        <f t="shared" si="14"/>
        <v>6500</v>
      </c>
      <c r="I49" s="188" t="s">
        <v>1018</v>
      </c>
      <c r="J49" s="159"/>
      <c r="K49" s="164">
        <f t="shared" si="15"/>
        <v>6500</v>
      </c>
      <c r="L49" s="164"/>
      <c r="M49" s="165">
        <v>6500</v>
      </c>
      <c r="N49" s="164"/>
      <c r="O49" s="166"/>
      <c r="P49" s="164"/>
      <c r="Q49" s="188"/>
      <c r="R49" s="188"/>
    </row>
    <row r="50" spans="1:18" ht="15.6" x14ac:dyDescent="0.3">
      <c r="A50" s="272"/>
      <c r="B50" s="56"/>
      <c r="C50" s="63"/>
      <c r="D50" s="63"/>
      <c r="E50" s="64"/>
      <c r="F50" s="184"/>
      <c r="G50" s="180"/>
      <c r="H50" s="178"/>
      <c r="I50" s="178"/>
      <c r="J50" s="178"/>
      <c r="K50" s="178"/>
      <c r="L50" s="178"/>
      <c r="M50" s="218"/>
      <c r="N50" s="218"/>
      <c r="O50" s="218"/>
      <c r="P50" s="218"/>
      <c r="Q50" s="178"/>
      <c r="R50" s="178"/>
    </row>
    <row r="51" spans="1:18" ht="15.6" x14ac:dyDescent="0.3">
      <c r="A51" s="270">
        <v>16.22</v>
      </c>
      <c r="B51" s="57" t="s">
        <v>181</v>
      </c>
      <c r="C51" s="52"/>
      <c r="D51" s="49"/>
      <c r="E51" s="50"/>
      <c r="F51" s="184"/>
      <c r="G51" s="189" t="s">
        <v>1026</v>
      </c>
      <c r="H51" s="189"/>
      <c r="I51" s="189"/>
      <c r="J51" s="189"/>
      <c r="K51" s="238"/>
      <c r="L51" s="239"/>
      <c r="M51" s="239"/>
      <c r="N51" s="189"/>
      <c r="O51" s="189"/>
      <c r="P51" s="189"/>
      <c r="Q51" s="189"/>
      <c r="R51" s="189"/>
    </row>
    <row r="52" spans="1:18" ht="46.8" x14ac:dyDescent="0.3">
      <c r="A52" s="270"/>
      <c r="B52" s="51" t="s">
        <v>182</v>
      </c>
      <c r="C52" s="52"/>
      <c r="D52" s="49"/>
      <c r="E52" s="50"/>
      <c r="F52" s="184"/>
      <c r="G52" s="180"/>
      <c r="H52" s="178"/>
      <c r="I52" s="178"/>
      <c r="J52" s="178"/>
      <c r="K52" s="178"/>
      <c r="L52" s="178"/>
      <c r="M52" s="218"/>
      <c r="N52" s="218"/>
      <c r="O52" s="218"/>
      <c r="P52" s="218"/>
      <c r="Q52" s="178"/>
      <c r="R52" s="178"/>
    </row>
    <row r="53" spans="1:18" ht="15.6" x14ac:dyDescent="0.3">
      <c r="A53" s="269" t="s">
        <v>183</v>
      </c>
      <c r="B53" s="66" t="s">
        <v>184</v>
      </c>
      <c r="C53" s="52" t="s">
        <v>7</v>
      </c>
      <c r="D53" s="52">
        <v>100</v>
      </c>
      <c r="E53" s="222">
        <f t="shared" ref="E53:E55" si="16">ROUNDUP(H53*$J$2,0)</f>
        <v>19</v>
      </c>
      <c r="F53" s="222">
        <f t="shared" ref="F53:F55" si="17">D53*E53</f>
        <v>1900</v>
      </c>
      <c r="G53" s="188" t="s">
        <v>1026</v>
      </c>
      <c r="H53" s="163">
        <f t="shared" ref="H53:H55" si="18">K53</f>
        <v>19</v>
      </c>
      <c r="I53" s="188" t="s">
        <v>1029</v>
      </c>
      <c r="J53" s="159"/>
      <c r="K53" s="164">
        <f t="shared" ref="K53:K55" si="19">L53+M53+N53+O53+P53</f>
        <v>19</v>
      </c>
      <c r="L53" s="164"/>
      <c r="M53" s="165">
        <v>15</v>
      </c>
      <c r="N53" s="164">
        <v>1</v>
      </c>
      <c r="O53" s="166"/>
      <c r="P53" s="164">
        <v>3</v>
      </c>
      <c r="Q53" s="188"/>
      <c r="R53" s="188"/>
    </row>
    <row r="54" spans="1:18" ht="15.6" x14ac:dyDescent="0.3">
      <c r="A54" s="269" t="s">
        <v>185</v>
      </c>
      <c r="B54" s="66" t="s">
        <v>186</v>
      </c>
      <c r="C54" s="52" t="s">
        <v>2</v>
      </c>
      <c r="D54" s="52">
        <v>100</v>
      </c>
      <c r="E54" s="222">
        <f t="shared" si="16"/>
        <v>28</v>
      </c>
      <c r="F54" s="222">
        <f t="shared" si="17"/>
        <v>2800</v>
      </c>
      <c r="G54" s="188" t="s">
        <v>1026</v>
      </c>
      <c r="H54" s="163">
        <f t="shared" si="18"/>
        <v>28</v>
      </c>
      <c r="I54" s="188" t="s">
        <v>1030</v>
      </c>
      <c r="J54" s="159"/>
      <c r="K54" s="164">
        <f t="shared" si="19"/>
        <v>28</v>
      </c>
      <c r="L54" s="164"/>
      <c r="M54" s="165">
        <v>26</v>
      </c>
      <c r="N54" s="164">
        <v>1</v>
      </c>
      <c r="O54" s="166"/>
      <c r="P54" s="164">
        <v>1</v>
      </c>
      <c r="Q54" s="188"/>
      <c r="R54" s="188"/>
    </row>
    <row r="55" spans="1:18" ht="15.6" x14ac:dyDescent="0.3">
      <c r="A55" s="269" t="s">
        <v>187</v>
      </c>
      <c r="B55" s="51" t="s">
        <v>188</v>
      </c>
      <c r="C55" s="52" t="s">
        <v>3</v>
      </c>
      <c r="D55" s="49">
        <v>1</v>
      </c>
      <c r="E55" s="222">
        <f t="shared" si="16"/>
        <v>20000</v>
      </c>
      <c r="F55" s="222">
        <f t="shared" si="17"/>
        <v>20000</v>
      </c>
      <c r="G55" s="188" t="s">
        <v>1026</v>
      </c>
      <c r="H55" s="163">
        <f t="shared" si="18"/>
        <v>20000</v>
      </c>
      <c r="I55" s="188" t="s">
        <v>1018</v>
      </c>
      <c r="J55" s="159"/>
      <c r="K55" s="164">
        <f t="shared" si="19"/>
        <v>20000</v>
      </c>
      <c r="L55" s="164"/>
      <c r="M55" s="165">
        <v>20000</v>
      </c>
      <c r="N55" s="164"/>
      <c r="O55" s="166"/>
      <c r="P55" s="164"/>
      <c r="Q55" s="188"/>
      <c r="R55" s="188"/>
    </row>
    <row r="56" spans="1:18" ht="15.6" x14ac:dyDescent="0.3">
      <c r="A56" s="269"/>
      <c r="B56" s="55"/>
      <c r="C56" s="52"/>
      <c r="D56" s="49"/>
      <c r="E56" s="50"/>
      <c r="F56" s="184"/>
      <c r="G56" s="180"/>
      <c r="H56" s="178"/>
      <c r="I56" s="178"/>
      <c r="J56" s="178"/>
      <c r="K56" s="178"/>
      <c r="L56" s="178"/>
      <c r="M56" s="218"/>
      <c r="N56" s="218"/>
      <c r="O56" s="218"/>
      <c r="P56" s="218"/>
      <c r="Q56" s="178"/>
      <c r="R56" s="178"/>
    </row>
    <row r="57" spans="1:18" ht="15.6" x14ac:dyDescent="0.3">
      <c r="A57" s="270">
        <v>16.23</v>
      </c>
      <c r="B57" s="57" t="s">
        <v>189</v>
      </c>
      <c r="C57" s="52"/>
      <c r="D57" s="49"/>
      <c r="E57" s="50"/>
      <c r="F57" s="184"/>
      <c r="G57" s="189" t="s">
        <v>1027</v>
      </c>
      <c r="H57" s="189"/>
      <c r="I57" s="189"/>
      <c r="J57" s="189"/>
      <c r="K57" s="238"/>
      <c r="L57" s="239"/>
      <c r="M57" s="239"/>
      <c r="N57" s="189"/>
      <c r="O57" s="189"/>
      <c r="P57" s="189"/>
      <c r="Q57" s="189"/>
      <c r="R57" s="189"/>
    </row>
    <row r="58" spans="1:18" ht="46.8" x14ac:dyDescent="0.3">
      <c r="A58" s="270"/>
      <c r="B58" s="51" t="s">
        <v>190</v>
      </c>
      <c r="C58" s="52"/>
      <c r="D58" s="49"/>
      <c r="E58" s="50"/>
      <c r="F58" s="184"/>
      <c r="G58" s="180"/>
      <c r="H58" s="178"/>
      <c r="I58" s="178"/>
      <c r="J58" s="178"/>
      <c r="K58" s="178"/>
      <c r="L58" s="178"/>
      <c r="M58" s="218"/>
      <c r="N58" s="218"/>
      <c r="O58" s="218"/>
      <c r="P58" s="218"/>
      <c r="Q58" s="178"/>
      <c r="R58" s="178"/>
    </row>
    <row r="59" spans="1:18" ht="15.6" x14ac:dyDescent="0.3">
      <c r="A59" s="269" t="s">
        <v>191</v>
      </c>
      <c r="B59" s="55" t="s">
        <v>316</v>
      </c>
      <c r="C59" s="52" t="s">
        <v>2</v>
      </c>
      <c r="D59" s="52">
        <v>7000</v>
      </c>
      <c r="E59" s="222">
        <f t="shared" ref="E59:E72" si="20">ROUNDUP(H59*$J$2,0)</f>
        <v>19</v>
      </c>
      <c r="F59" s="222">
        <f t="shared" ref="F59:F72" si="21">D59*E59</f>
        <v>133000</v>
      </c>
      <c r="G59" s="188" t="s">
        <v>1027</v>
      </c>
      <c r="H59" s="163">
        <f t="shared" ref="H59:H72" si="22">K59</f>
        <v>19</v>
      </c>
      <c r="I59" s="188" t="s">
        <v>1029</v>
      </c>
      <c r="J59" s="159"/>
      <c r="K59" s="164">
        <f t="shared" ref="K59:K72" si="23">L59+M59+N59+O59+P59</f>
        <v>19</v>
      </c>
      <c r="L59" s="164"/>
      <c r="M59" s="165">
        <v>15</v>
      </c>
      <c r="N59" s="164">
        <v>1</v>
      </c>
      <c r="O59" s="166"/>
      <c r="P59" s="164">
        <v>3</v>
      </c>
      <c r="Q59" s="188"/>
      <c r="R59" s="188"/>
    </row>
    <row r="60" spans="1:18" ht="15.6" x14ac:dyDescent="0.3">
      <c r="A60" s="269" t="s">
        <v>192</v>
      </c>
      <c r="B60" s="55" t="s">
        <v>193</v>
      </c>
      <c r="C60" s="52" t="s">
        <v>2</v>
      </c>
      <c r="D60" s="52">
        <v>12000</v>
      </c>
      <c r="E60" s="222">
        <f t="shared" si="20"/>
        <v>19</v>
      </c>
      <c r="F60" s="222">
        <f t="shared" si="21"/>
        <v>228000</v>
      </c>
      <c r="G60" s="188" t="s">
        <v>1027</v>
      </c>
      <c r="H60" s="163">
        <f t="shared" si="22"/>
        <v>19</v>
      </c>
      <c r="I60" s="188" t="s">
        <v>1037</v>
      </c>
      <c r="J60" s="159"/>
      <c r="K60" s="164">
        <f t="shared" si="23"/>
        <v>19</v>
      </c>
      <c r="L60" s="164"/>
      <c r="M60" s="165">
        <v>15</v>
      </c>
      <c r="N60" s="164">
        <v>1</v>
      </c>
      <c r="O60" s="166"/>
      <c r="P60" s="164">
        <v>3</v>
      </c>
      <c r="Q60" s="188"/>
      <c r="R60" s="188"/>
    </row>
    <row r="61" spans="1:18" ht="15.6" x14ac:dyDescent="0.3">
      <c r="A61" s="269" t="s">
        <v>194</v>
      </c>
      <c r="B61" s="55" t="s">
        <v>195</v>
      </c>
      <c r="C61" s="52" t="s">
        <v>8</v>
      </c>
      <c r="D61" s="49">
        <v>70</v>
      </c>
      <c r="E61" s="222">
        <f t="shared" si="20"/>
        <v>125</v>
      </c>
      <c r="F61" s="222">
        <f t="shared" si="21"/>
        <v>8750</v>
      </c>
      <c r="G61" s="188" t="s">
        <v>1027</v>
      </c>
      <c r="H61" s="163">
        <f t="shared" si="22"/>
        <v>125</v>
      </c>
      <c r="I61" s="188" t="s">
        <v>1038</v>
      </c>
      <c r="J61" s="159"/>
      <c r="K61" s="164">
        <f t="shared" si="23"/>
        <v>125</v>
      </c>
      <c r="L61" s="164"/>
      <c r="M61" s="165">
        <v>125</v>
      </c>
      <c r="N61" s="164"/>
      <c r="O61" s="166"/>
      <c r="P61" s="164"/>
      <c r="Q61" s="188"/>
      <c r="R61" s="188"/>
    </row>
    <row r="62" spans="1:18" ht="15.6" x14ac:dyDescent="0.3">
      <c r="A62" s="269" t="s">
        <v>196</v>
      </c>
      <c r="B62" s="55" t="s">
        <v>197</v>
      </c>
      <c r="C62" s="52" t="s">
        <v>8</v>
      </c>
      <c r="D62" s="49">
        <v>50</v>
      </c>
      <c r="E62" s="222">
        <f t="shared" si="20"/>
        <v>95</v>
      </c>
      <c r="F62" s="222">
        <f t="shared" si="21"/>
        <v>4750</v>
      </c>
      <c r="G62" s="188" t="s">
        <v>1027</v>
      </c>
      <c r="H62" s="163">
        <f t="shared" si="22"/>
        <v>95</v>
      </c>
      <c r="I62" s="188" t="s">
        <v>1039</v>
      </c>
      <c r="J62" s="159"/>
      <c r="K62" s="164">
        <f t="shared" si="23"/>
        <v>95</v>
      </c>
      <c r="L62" s="164"/>
      <c r="M62" s="165">
        <v>95</v>
      </c>
      <c r="N62" s="164"/>
      <c r="O62" s="166"/>
      <c r="P62" s="164"/>
      <c r="Q62" s="188"/>
      <c r="R62" s="188"/>
    </row>
    <row r="63" spans="1:18" ht="15.6" x14ac:dyDescent="0.3">
      <c r="A63" s="269" t="s">
        <v>198</v>
      </c>
      <c r="B63" s="55" t="s">
        <v>199</v>
      </c>
      <c r="C63" s="52" t="s">
        <v>8</v>
      </c>
      <c r="D63" s="49">
        <v>15</v>
      </c>
      <c r="E63" s="222">
        <f t="shared" si="20"/>
        <v>1915</v>
      </c>
      <c r="F63" s="222">
        <f t="shared" si="21"/>
        <v>28725</v>
      </c>
      <c r="G63" s="188" t="s">
        <v>1027</v>
      </c>
      <c r="H63" s="163">
        <f t="shared" si="22"/>
        <v>1915</v>
      </c>
      <c r="I63" s="188" t="s">
        <v>1040</v>
      </c>
      <c r="J63" s="159"/>
      <c r="K63" s="164">
        <f t="shared" si="23"/>
        <v>1915</v>
      </c>
      <c r="L63" s="164"/>
      <c r="M63" s="165">
        <v>1850</v>
      </c>
      <c r="N63" s="164">
        <v>50</v>
      </c>
      <c r="O63" s="166"/>
      <c r="P63" s="164">
        <v>15</v>
      </c>
      <c r="Q63" s="188"/>
      <c r="R63" s="188"/>
    </row>
    <row r="64" spans="1:18" ht="15.6" x14ac:dyDescent="0.3">
      <c r="A64" s="269" t="s">
        <v>200</v>
      </c>
      <c r="B64" s="55" t="s">
        <v>201</v>
      </c>
      <c r="C64" s="52" t="s">
        <v>8</v>
      </c>
      <c r="D64" s="49">
        <v>1</v>
      </c>
      <c r="E64" s="222">
        <f t="shared" si="20"/>
        <v>5517</v>
      </c>
      <c r="F64" s="222">
        <f t="shared" si="21"/>
        <v>5517</v>
      </c>
      <c r="G64" s="188" t="s">
        <v>1027</v>
      </c>
      <c r="H64" s="163">
        <f t="shared" si="22"/>
        <v>5517</v>
      </c>
      <c r="I64" s="188" t="s">
        <v>1034</v>
      </c>
      <c r="J64" s="159"/>
      <c r="K64" s="164">
        <f t="shared" si="23"/>
        <v>5517</v>
      </c>
      <c r="L64" s="164">
        <v>317</v>
      </c>
      <c r="M64" s="165">
        <v>5000</v>
      </c>
      <c r="N64" s="164">
        <v>100</v>
      </c>
      <c r="O64" s="166"/>
      <c r="P64" s="164">
        <v>100</v>
      </c>
      <c r="Q64" s="188"/>
      <c r="R64" s="188"/>
    </row>
    <row r="65" spans="1:18" ht="15.6" x14ac:dyDescent="0.3">
      <c r="A65" s="269" t="s">
        <v>202</v>
      </c>
      <c r="B65" s="56" t="s">
        <v>203</v>
      </c>
      <c r="C65" s="52" t="s">
        <v>8</v>
      </c>
      <c r="D65" s="49">
        <v>60</v>
      </c>
      <c r="E65" s="222">
        <f t="shared" si="20"/>
        <v>295</v>
      </c>
      <c r="F65" s="222">
        <f t="shared" si="21"/>
        <v>17700</v>
      </c>
      <c r="G65" s="188" t="s">
        <v>1027</v>
      </c>
      <c r="H65" s="163">
        <f t="shared" si="22"/>
        <v>295</v>
      </c>
      <c r="I65" s="188" t="s">
        <v>1041</v>
      </c>
      <c r="J65" s="159"/>
      <c r="K65" s="164">
        <f t="shared" si="23"/>
        <v>295</v>
      </c>
      <c r="L65" s="164"/>
      <c r="M65" s="165">
        <v>285</v>
      </c>
      <c r="N65" s="164">
        <v>5</v>
      </c>
      <c r="O65" s="166"/>
      <c r="P65" s="164">
        <v>5</v>
      </c>
      <c r="Q65" s="188"/>
      <c r="R65" s="188"/>
    </row>
    <row r="66" spans="1:18" ht="15.6" x14ac:dyDescent="0.3">
      <c r="A66" s="269" t="s">
        <v>204</v>
      </c>
      <c r="B66" s="51" t="s">
        <v>205</v>
      </c>
      <c r="C66" s="52" t="s">
        <v>9</v>
      </c>
      <c r="D66" s="49">
        <v>6</v>
      </c>
      <c r="E66" s="222">
        <f t="shared" si="20"/>
        <v>2905</v>
      </c>
      <c r="F66" s="222">
        <f t="shared" si="21"/>
        <v>17430</v>
      </c>
      <c r="G66" s="188" t="s">
        <v>1027</v>
      </c>
      <c r="H66" s="163">
        <f t="shared" si="22"/>
        <v>2905</v>
      </c>
      <c r="I66" s="188" t="s">
        <v>924</v>
      </c>
      <c r="J66" s="159"/>
      <c r="K66" s="164">
        <f t="shared" si="23"/>
        <v>2905</v>
      </c>
      <c r="L66" s="164"/>
      <c r="M66" s="165">
        <v>2850</v>
      </c>
      <c r="N66" s="164">
        <v>50</v>
      </c>
      <c r="O66" s="166"/>
      <c r="P66" s="164">
        <v>5</v>
      </c>
      <c r="Q66" s="188"/>
      <c r="R66" s="188"/>
    </row>
    <row r="67" spans="1:18" ht="15.6" x14ac:dyDescent="0.3">
      <c r="A67" s="269" t="s">
        <v>206</v>
      </c>
      <c r="B67" s="55" t="s">
        <v>207</v>
      </c>
      <c r="C67" s="52" t="s">
        <v>8</v>
      </c>
      <c r="D67" s="49">
        <v>2</v>
      </c>
      <c r="E67" s="222">
        <f t="shared" si="20"/>
        <v>660</v>
      </c>
      <c r="F67" s="222">
        <f t="shared" si="21"/>
        <v>1320</v>
      </c>
      <c r="G67" s="188" t="s">
        <v>1027</v>
      </c>
      <c r="H67" s="163">
        <f t="shared" si="22"/>
        <v>660</v>
      </c>
      <c r="I67" s="188" t="s">
        <v>1042</v>
      </c>
      <c r="J67" s="159"/>
      <c r="K67" s="164">
        <f t="shared" si="23"/>
        <v>660</v>
      </c>
      <c r="L67" s="164"/>
      <c r="M67" s="165">
        <v>650</v>
      </c>
      <c r="N67" s="164">
        <v>5</v>
      </c>
      <c r="O67" s="166"/>
      <c r="P67" s="164">
        <v>5</v>
      </c>
      <c r="Q67" s="188"/>
      <c r="R67" s="188"/>
    </row>
    <row r="68" spans="1:18" ht="15.6" x14ac:dyDescent="0.3">
      <c r="A68" s="269" t="s">
        <v>208</v>
      </c>
      <c r="B68" s="56" t="s">
        <v>209</v>
      </c>
      <c r="C68" s="52" t="s">
        <v>9</v>
      </c>
      <c r="D68" s="49">
        <v>6</v>
      </c>
      <c r="E68" s="222">
        <f t="shared" si="20"/>
        <v>2800</v>
      </c>
      <c r="F68" s="222">
        <f t="shared" si="21"/>
        <v>16800</v>
      </c>
      <c r="G68" s="188" t="s">
        <v>1027</v>
      </c>
      <c r="H68" s="163">
        <f t="shared" si="22"/>
        <v>2800</v>
      </c>
      <c r="I68" s="188" t="s">
        <v>1043</v>
      </c>
      <c r="J68" s="159"/>
      <c r="K68" s="164">
        <f t="shared" si="23"/>
        <v>2800</v>
      </c>
      <c r="L68" s="164"/>
      <c r="M68" s="165">
        <v>2700</v>
      </c>
      <c r="N68" s="164">
        <v>50</v>
      </c>
      <c r="O68" s="166"/>
      <c r="P68" s="164">
        <v>50</v>
      </c>
      <c r="Q68" s="188"/>
      <c r="R68" s="188"/>
    </row>
    <row r="69" spans="1:18" ht="15.6" x14ac:dyDescent="0.3">
      <c r="A69" s="269" t="s">
        <v>210</v>
      </c>
      <c r="B69" s="56" t="s">
        <v>211</v>
      </c>
      <c r="C69" s="52" t="s">
        <v>2</v>
      </c>
      <c r="D69" s="49">
        <v>300</v>
      </c>
      <c r="E69" s="222">
        <f t="shared" si="20"/>
        <v>20</v>
      </c>
      <c r="F69" s="222">
        <f t="shared" si="21"/>
        <v>6000</v>
      </c>
      <c r="G69" s="188" t="s">
        <v>1027</v>
      </c>
      <c r="H69" s="163">
        <f t="shared" si="22"/>
        <v>20</v>
      </c>
      <c r="I69" s="188" t="s">
        <v>1044</v>
      </c>
      <c r="J69" s="159"/>
      <c r="K69" s="164">
        <f t="shared" si="23"/>
        <v>20</v>
      </c>
      <c r="L69" s="164"/>
      <c r="M69" s="165">
        <v>18</v>
      </c>
      <c r="N69" s="164">
        <v>1</v>
      </c>
      <c r="O69" s="166"/>
      <c r="P69" s="164">
        <v>1</v>
      </c>
      <c r="Q69" s="188"/>
      <c r="R69" s="188"/>
    </row>
    <row r="70" spans="1:18" ht="15.6" x14ac:dyDescent="0.3">
      <c r="A70" s="269" t="s">
        <v>212</v>
      </c>
      <c r="B70" s="56" t="s">
        <v>213</v>
      </c>
      <c r="C70" s="52" t="s">
        <v>45</v>
      </c>
      <c r="D70" s="49">
        <v>1</v>
      </c>
      <c r="E70" s="222">
        <f t="shared" si="20"/>
        <v>2880</v>
      </c>
      <c r="F70" s="222">
        <f t="shared" si="21"/>
        <v>2880</v>
      </c>
      <c r="G70" s="188" t="s">
        <v>1027</v>
      </c>
      <c r="H70" s="163">
        <f t="shared" si="22"/>
        <v>2880</v>
      </c>
      <c r="I70" s="188" t="s">
        <v>1042</v>
      </c>
      <c r="J70" s="159"/>
      <c r="K70" s="164">
        <f t="shared" si="23"/>
        <v>2880</v>
      </c>
      <c r="L70" s="164"/>
      <c r="M70" s="165">
        <v>2850</v>
      </c>
      <c r="N70" s="164">
        <v>20</v>
      </c>
      <c r="O70" s="166"/>
      <c r="P70" s="164">
        <v>10</v>
      </c>
      <c r="Q70" s="188"/>
      <c r="R70" s="188"/>
    </row>
    <row r="71" spans="1:18" ht="15.6" x14ac:dyDescent="0.3">
      <c r="A71" s="269" t="s">
        <v>214</v>
      </c>
      <c r="B71" s="56" t="s">
        <v>215</v>
      </c>
      <c r="C71" s="52" t="s">
        <v>45</v>
      </c>
      <c r="D71" s="49">
        <v>1</v>
      </c>
      <c r="E71" s="222">
        <f t="shared" si="20"/>
        <v>3880</v>
      </c>
      <c r="F71" s="222">
        <f t="shared" si="21"/>
        <v>3880</v>
      </c>
      <c r="G71" s="188" t="s">
        <v>1027</v>
      </c>
      <c r="H71" s="163">
        <f t="shared" si="22"/>
        <v>3880</v>
      </c>
      <c r="I71" s="188" t="s">
        <v>1043</v>
      </c>
      <c r="J71" s="159"/>
      <c r="K71" s="164">
        <f t="shared" si="23"/>
        <v>3880</v>
      </c>
      <c r="L71" s="164"/>
      <c r="M71" s="165">
        <v>3850</v>
      </c>
      <c r="N71" s="164">
        <v>20</v>
      </c>
      <c r="O71" s="166"/>
      <c r="P71" s="164">
        <v>10</v>
      </c>
      <c r="Q71" s="188"/>
      <c r="R71" s="188"/>
    </row>
    <row r="72" spans="1:18" ht="15.6" x14ac:dyDescent="0.3">
      <c r="A72" s="269" t="s">
        <v>216</v>
      </c>
      <c r="B72" s="56" t="s">
        <v>110</v>
      </c>
      <c r="C72" s="52" t="s">
        <v>45</v>
      </c>
      <c r="D72" s="49">
        <v>1</v>
      </c>
      <c r="E72" s="222">
        <f t="shared" si="20"/>
        <v>9000</v>
      </c>
      <c r="F72" s="222">
        <f t="shared" si="21"/>
        <v>9000</v>
      </c>
      <c r="G72" s="188" t="s">
        <v>1027</v>
      </c>
      <c r="H72" s="163">
        <f t="shared" si="22"/>
        <v>9000</v>
      </c>
      <c r="I72" s="188" t="s">
        <v>1018</v>
      </c>
      <c r="J72" s="159"/>
      <c r="K72" s="164">
        <f t="shared" si="23"/>
        <v>9000</v>
      </c>
      <c r="L72" s="164"/>
      <c r="M72" s="165">
        <v>9000</v>
      </c>
      <c r="N72" s="164"/>
      <c r="O72" s="166"/>
      <c r="P72" s="164"/>
      <c r="Q72" s="188"/>
      <c r="R72" s="188"/>
    </row>
    <row r="73" spans="1:18" ht="15.6" x14ac:dyDescent="0.3">
      <c r="A73" s="269"/>
      <c r="B73" s="56"/>
      <c r="C73" s="52"/>
      <c r="D73" s="49"/>
      <c r="E73" s="64"/>
      <c r="F73" s="184"/>
      <c r="G73" s="180"/>
      <c r="H73" s="178"/>
      <c r="I73" s="178"/>
      <c r="J73" s="178"/>
      <c r="K73" s="178"/>
      <c r="L73" s="178"/>
      <c r="M73" s="218"/>
      <c r="N73" s="218"/>
      <c r="O73" s="218"/>
      <c r="P73" s="218"/>
      <c r="Q73" s="178"/>
      <c r="R73" s="178"/>
    </row>
    <row r="74" spans="1:18" ht="15.6" x14ac:dyDescent="0.3">
      <c r="A74" s="270">
        <v>16.239999999999998</v>
      </c>
      <c r="B74" s="57" t="s">
        <v>217</v>
      </c>
      <c r="C74" s="52"/>
      <c r="D74" s="49"/>
      <c r="E74" s="50"/>
      <c r="F74" s="184"/>
      <c r="G74" s="189" t="s">
        <v>1028</v>
      </c>
      <c r="H74" s="189"/>
      <c r="I74" s="189"/>
      <c r="J74" s="189"/>
      <c r="K74" s="238"/>
      <c r="L74" s="239"/>
      <c r="M74" s="239"/>
      <c r="N74" s="189"/>
      <c r="O74" s="189"/>
      <c r="P74" s="189"/>
      <c r="Q74" s="189"/>
      <c r="R74" s="189"/>
    </row>
    <row r="75" spans="1:18" ht="46.8" x14ac:dyDescent="0.3">
      <c r="A75" s="270"/>
      <c r="B75" s="51" t="s">
        <v>218</v>
      </c>
      <c r="C75" s="52"/>
      <c r="D75" s="49"/>
      <c r="E75" s="50"/>
      <c r="F75" s="184"/>
      <c r="G75" s="180"/>
      <c r="H75" s="178"/>
      <c r="I75" s="178"/>
      <c r="J75" s="178"/>
      <c r="K75" s="178"/>
      <c r="L75" s="178"/>
      <c r="M75" s="218"/>
      <c r="N75" s="218"/>
      <c r="O75" s="218"/>
      <c r="P75" s="218"/>
      <c r="Q75" s="178"/>
      <c r="R75" s="178"/>
    </row>
    <row r="76" spans="1:18" ht="15.6" x14ac:dyDescent="0.3">
      <c r="A76" s="269" t="s">
        <v>219</v>
      </c>
      <c r="B76" s="55" t="s">
        <v>315</v>
      </c>
      <c r="C76" s="52" t="s">
        <v>2</v>
      </c>
      <c r="D76" s="52">
        <v>450</v>
      </c>
      <c r="E76" s="222">
        <f t="shared" ref="E76:E87" si="24">ROUNDUP(H76*$J$2,0)</f>
        <v>19</v>
      </c>
      <c r="F76" s="222">
        <f t="shared" ref="F76:F87" si="25">D76*E76</f>
        <v>8550</v>
      </c>
      <c r="G76" s="188" t="s">
        <v>1028</v>
      </c>
      <c r="H76" s="163">
        <f t="shared" ref="H76:H87" si="26">K76</f>
        <v>19</v>
      </c>
      <c r="I76" s="188" t="s">
        <v>1029</v>
      </c>
      <c r="J76" s="159"/>
      <c r="K76" s="164">
        <f t="shared" ref="K76:K87" si="27">L76+M76+N76+O76+P76</f>
        <v>19</v>
      </c>
      <c r="L76" s="164"/>
      <c r="M76" s="165">
        <v>15</v>
      </c>
      <c r="N76" s="164">
        <v>1</v>
      </c>
      <c r="O76" s="166"/>
      <c r="P76" s="164">
        <v>3</v>
      </c>
      <c r="Q76" s="188"/>
      <c r="R76" s="188"/>
    </row>
    <row r="77" spans="1:18" ht="15.6" x14ac:dyDescent="0.3">
      <c r="A77" s="269" t="s">
        <v>220</v>
      </c>
      <c r="B77" s="55" t="s">
        <v>221</v>
      </c>
      <c r="C77" s="52" t="s">
        <v>2</v>
      </c>
      <c r="D77" s="52">
        <v>750</v>
      </c>
      <c r="E77" s="222">
        <f t="shared" si="24"/>
        <v>19</v>
      </c>
      <c r="F77" s="222">
        <f t="shared" si="25"/>
        <v>14250</v>
      </c>
      <c r="G77" s="188" t="s">
        <v>1028</v>
      </c>
      <c r="H77" s="163">
        <f t="shared" si="26"/>
        <v>19</v>
      </c>
      <c r="I77" s="188" t="s">
        <v>1042</v>
      </c>
      <c r="J77" s="159"/>
      <c r="K77" s="164">
        <f t="shared" si="27"/>
        <v>19</v>
      </c>
      <c r="L77" s="164"/>
      <c r="M77" s="165">
        <v>15</v>
      </c>
      <c r="N77" s="164">
        <v>1</v>
      </c>
      <c r="O77" s="166"/>
      <c r="P77" s="164">
        <v>3</v>
      </c>
      <c r="Q77" s="188"/>
      <c r="R77" s="188"/>
    </row>
    <row r="78" spans="1:18" ht="15.6" x14ac:dyDescent="0.3">
      <c r="A78" s="269" t="s">
        <v>222</v>
      </c>
      <c r="B78" s="51" t="s">
        <v>223</v>
      </c>
      <c r="C78" s="52" t="s">
        <v>9</v>
      </c>
      <c r="D78" s="49">
        <v>2</v>
      </c>
      <c r="E78" s="222">
        <f t="shared" si="24"/>
        <v>2325</v>
      </c>
      <c r="F78" s="222">
        <f t="shared" si="25"/>
        <v>4650</v>
      </c>
      <c r="G78" s="188" t="s">
        <v>1028</v>
      </c>
      <c r="H78" s="163">
        <f t="shared" si="26"/>
        <v>2325</v>
      </c>
      <c r="I78" s="188" t="s">
        <v>1045</v>
      </c>
      <c r="J78" s="159"/>
      <c r="K78" s="164">
        <f t="shared" si="27"/>
        <v>2325</v>
      </c>
      <c r="L78" s="164"/>
      <c r="M78" s="165">
        <v>2300</v>
      </c>
      <c r="N78" s="164">
        <v>10</v>
      </c>
      <c r="O78" s="166"/>
      <c r="P78" s="164">
        <v>15</v>
      </c>
      <c r="Q78" s="188"/>
      <c r="R78" s="188"/>
    </row>
    <row r="79" spans="1:18" ht="15.6" x14ac:dyDescent="0.3">
      <c r="A79" s="269" t="s">
        <v>224</v>
      </c>
      <c r="B79" s="51" t="s">
        <v>225</v>
      </c>
      <c r="C79" s="52" t="s">
        <v>9</v>
      </c>
      <c r="D79" s="49">
        <v>2</v>
      </c>
      <c r="E79" s="222">
        <f t="shared" si="24"/>
        <v>1875</v>
      </c>
      <c r="F79" s="222">
        <f t="shared" si="25"/>
        <v>3750</v>
      </c>
      <c r="G79" s="188" t="s">
        <v>1028</v>
      </c>
      <c r="H79" s="163">
        <f t="shared" si="26"/>
        <v>1875</v>
      </c>
      <c r="I79" s="188" t="s">
        <v>1030</v>
      </c>
      <c r="J79" s="159"/>
      <c r="K79" s="164">
        <f t="shared" si="27"/>
        <v>1875</v>
      </c>
      <c r="L79" s="164"/>
      <c r="M79" s="165">
        <v>1850</v>
      </c>
      <c r="N79" s="164">
        <v>20</v>
      </c>
      <c r="O79" s="166"/>
      <c r="P79" s="164">
        <v>5</v>
      </c>
      <c r="Q79" s="188"/>
      <c r="R79" s="188"/>
    </row>
    <row r="80" spans="1:18" ht="15.6" x14ac:dyDescent="0.3">
      <c r="A80" s="269" t="s">
        <v>226</v>
      </c>
      <c r="B80" s="51" t="s">
        <v>227</v>
      </c>
      <c r="C80" s="52" t="s">
        <v>9</v>
      </c>
      <c r="D80" s="49">
        <v>2</v>
      </c>
      <c r="E80" s="222">
        <f t="shared" si="24"/>
        <v>2880</v>
      </c>
      <c r="F80" s="222">
        <f t="shared" si="25"/>
        <v>5760</v>
      </c>
      <c r="G80" s="188" t="s">
        <v>1028</v>
      </c>
      <c r="H80" s="163">
        <f t="shared" si="26"/>
        <v>2880</v>
      </c>
      <c r="I80" s="188" t="s">
        <v>1030</v>
      </c>
      <c r="J80" s="159"/>
      <c r="K80" s="164">
        <f t="shared" si="27"/>
        <v>2880</v>
      </c>
      <c r="L80" s="164"/>
      <c r="M80" s="165">
        <v>2850</v>
      </c>
      <c r="N80" s="164">
        <v>20</v>
      </c>
      <c r="O80" s="166"/>
      <c r="P80" s="164">
        <v>10</v>
      </c>
      <c r="Q80" s="188"/>
      <c r="R80" s="188"/>
    </row>
    <row r="81" spans="1:18" ht="15.6" x14ac:dyDescent="0.3">
      <c r="A81" s="269" t="s">
        <v>228</v>
      </c>
      <c r="B81" s="51" t="s">
        <v>229</v>
      </c>
      <c r="C81" s="52" t="s">
        <v>9</v>
      </c>
      <c r="D81" s="49">
        <v>2</v>
      </c>
      <c r="E81" s="222">
        <f t="shared" si="24"/>
        <v>670</v>
      </c>
      <c r="F81" s="222">
        <f t="shared" si="25"/>
        <v>1340</v>
      </c>
      <c r="G81" s="188" t="s">
        <v>1028</v>
      </c>
      <c r="H81" s="163">
        <f t="shared" si="26"/>
        <v>670</v>
      </c>
      <c r="I81" s="188" t="s">
        <v>1030</v>
      </c>
      <c r="J81" s="159"/>
      <c r="K81" s="164">
        <f t="shared" si="27"/>
        <v>670</v>
      </c>
      <c r="L81" s="164"/>
      <c r="M81" s="165">
        <v>650</v>
      </c>
      <c r="N81" s="164">
        <v>10</v>
      </c>
      <c r="O81" s="166"/>
      <c r="P81" s="164">
        <v>10</v>
      </c>
      <c r="Q81" s="188"/>
      <c r="R81" s="188"/>
    </row>
    <row r="82" spans="1:18" ht="15.6" x14ac:dyDescent="0.3">
      <c r="A82" s="269" t="s">
        <v>230</v>
      </c>
      <c r="B82" s="51" t="s">
        <v>231</v>
      </c>
      <c r="C82" s="52" t="s">
        <v>9</v>
      </c>
      <c r="D82" s="49">
        <v>1</v>
      </c>
      <c r="E82" s="222">
        <f t="shared" si="24"/>
        <v>4950</v>
      </c>
      <c r="F82" s="222">
        <f t="shared" si="25"/>
        <v>4950</v>
      </c>
      <c r="G82" s="188" t="s">
        <v>1028</v>
      </c>
      <c r="H82" s="163">
        <f t="shared" si="26"/>
        <v>4950</v>
      </c>
      <c r="I82" s="188" t="s">
        <v>1045</v>
      </c>
      <c r="J82" s="159"/>
      <c r="K82" s="164">
        <f t="shared" si="27"/>
        <v>4950</v>
      </c>
      <c r="L82" s="164"/>
      <c r="M82" s="165">
        <v>4850</v>
      </c>
      <c r="N82" s="164">
        <v>50</v>
      </c>
      <c r="O82" s="166"/>
      <c r="P82" s="164">
        <v>50</v>
      </c>
      <c r="Q82" s="188"/>
      <c r="R82" s="188"/>
    </row>
    <row r="83" spans="1:18" s="41" customFormat="1" ht="31.2" x14ac:dyDescent="0.3">
      <c r="A83" s="269" t="s">
        <v>232</v>
      </c>
      <c r="B83" s="51" t="s">
        <v>233</v>
      </c>
      <c r="C83" s="52" t="s">
        <v>9</v>
      </c>
      <c r="D83" s="49">
        <v>2</v>
      </c>
      <c r="E83" s="222">
        <f t="shared" si="24"/>
        <v>510</v>
      </c>
      <c r="F83" s="222">
        <f t="shared" si="25"/>
        <v>1020</v>
      </c>
      <c r="G83" s="188" t="s">
        <v>1028</v>
      </c>
      <c r="H83" s="163">
        <f t="shared" si="26"/>
        <v>510</v>
      </c>
      <c r="I83" s="188" t="s">
        <v>1046</v>
      </c>
      <c r="J83" s="159"/>
      <c r="K83" s="164">
        <f t="shared" si="27"/>
        <v>510</v>
      </c>
      <c r="L83" s="164"/>
      <c r="M83" s="165">
        <v>485</v>
      </c>
      <c r="N83" s="164">
        <v>15</v>
      </c>
      <c r="O83" s="166"/>
      <c r="P83" s="164">
        <v>10</v>
      </c>
      <c r="Q83" s="188"/>
      <c r="R83" s="188"/>
    </row>
    <row r="84" spans="1:18" ht="15.6" x14ac:dyDescent="0.3">
      <c r="A84" s="269" t="s">
        <v>234</v>
      </c>
      <c r="B84" s="55" t="s">
        <v>235</v>
      </c>
      <c r="C84" s="52" t="s">
        <v>9</v>
      </c>
      <c r="D84" s="52">
        <v>1</v>
      </c>
      <c r="E84" s="222">
        <f t="shared" si="24"/>
        <v>4050</v>
      </c>
      <c r="F84" s="222">
        <f t="shared" si="25"/>
        <v>4050</v>
      </c>
      <c r="G84" s="188" t="s">
        <v>1028</v>
      </c>
      <c r="H84" s="163">
        <f t="shared" si="26"/>
        <v>4050</v>
      </c>
      <c r="I84" s="188" t="s">
        <v>1034</v>
      </c>
      <c r="J84" s="159"/>
      <c r="K84" s="164">
        <f t="shared" si="27"/>
        <v>4050</v>
      </c>
      <c r="L84" s="164"/>
      <c r="M84" s="165">
        <v>3850</v>
      </c>
      <c r="N84" s="164">
        <v>100</v>
      </c>
      <c r="O84" s="166"/>
      <c r="P84" s="164">
        <v>100</v>
      </c>
      <c r="Q84" s="188"/>
      <c r="R84" s="188"/>
    </row>
    <row r="85" spans="1:18" ht="15.6" x14ac:dyDescent="0.3">
      <c r="A85" s="269" t="s">
        <v>236</v>
      </c>
      <c r="B85" s="55" t="s">
        <v>237</v>
      </c>
      <c r="C85" s="52" t="s">
        <v>9</v>
      </c>
      <c r="D85" s="52">
        <v>1</v>
      </c>
      <c r="E85" s="222">
        <f t="shared" si="24"/>
        <v>3350</v>
      </c>
      <c r="F85" s="222">
        <f t="shared" si="25"/>
        <v>3350</v>
      </c>
      <c r="G85" s="188" t="s">
        <v>1028</v>
      </c>
      <c r="H85" s="163">
        <f t="shared" si="26"/>
        <v>3350</v>
      </c>
      <c r="I85" s="188" t="s">
        <v>1047</v>
      </c>
      <c r="J85" s="159"/>
      <c r="K85" s="164">
        <f t="shared" si="27"/>
        <v>3350</v>
      </c>
      <c r="L85" s="164"/>
      <c r="M85" s="165">
        <v>3200</v>
      </c>
      <c r="N85" s="164">
        <v>100</v>
      </c>
      <c r="O85" s="166"/>
      <c r="P85" s="164">
        <v>50</v>
      </c>
      <c r="Q85" s="188"/>
      <c r="R85" s="188"/>
    </row>
    <row r="86" spans="1:18" ht="31.2" x14ac:dyDescent="0.3">
      <c r="A86" s="269" t="s">
        <v>238</v>
      </c>
      <c r="B86" s="55" t="s">
        <v>239</v>
      </c>
      <c r="C86" s="52" t="s">
        <v>74</v>
      </c>
      <c r="D86" s="52">
        <v>1</v>
      </c>
      <c r="E86" s="222">
        <f t="shared" si="24"/>
        <v>7650</v>
      </c>
      <c r="F86" s="222">
        <f t="shared" si="25"/>
        <v>7650</v>
      </c>
      <c r="G86" s="188" t="s">
        <v>1028</v>
      </c>
      <c r="H86" s="163">
        <f t="shared" si="26"/>
        <v>7650</v>
      </c>
      <c r="I86" s="188" t="s">
        <v>1033</v>
      </c>
      <c r="J86" s="159"/>
      <c r="K86" s="164">
        <f t="shared" si="27"/>
        <v>7650</v>
      </c>
      <c r="L86" s="164"/>
      <c r="M86" s="165">
        <v>7500</v>
      </c>
      <c r="N86" s="164">
        <v>100</v>
      </c>
      <c r="O86" s="166"/>
      <c r="P86" s="164">
        <v>50</v>
      </c>
      <c r="Q86" s="188"/>
      <c r="R86" s="188"/>
    </row>
    <row r="87" spans="1:18" ht="15.6" x14ac:dyDescent="0.3">
      <c r="A87" s="269" t="s">
        <v>240</v>
      </c>
      <c r="B87" s="55" t="s">
        <v>110</v>
      </c>
      <c r="C87" s="52" t="s">
        <v>74</v>
      </c>
      <c r="D87" s="52">
        <v>1</v>
      </c>
      <c r="E87" s="222">
        <f t="shared" si="24"/>
        <v>7000</v>
      </c>
      <c r="F87" s="222">
        <f t="shared" si="25"/>
        <v>7000</v>
      </c>
      <c r="G87" s="188" t="s">
        <v>1028</v>
      </c>
      <c r="H87" s="163">
        <f t="shared" si="26"/>
        <v>7000</v>
      </c>
      <c r="I87" s="188" t="s">
        <v>1018</v>
      </c>
      <c r="J87" s="159"/>
      <c r="K87" s="164">
        <f t="shared" si="27"/>
        <v>7000</v>
      </c>
      <c r="L87" s="164"/>
      <c r="M87" s="165">
        <v>7000</v>
      </c>
      <c r="N87" s="164"/>
      <c r="O87" s="166"/>
      <c r="P87" s="164"/>
      <c r="Q87" s="188"/>
      <c r="R87" s="188"/>
    </row>
    <row r="88" spans="1:18" ht="15.6" x14ac:dyDescent="0.3">
      <c r="A88" s="269"/>
      <c r="B88" s="51"/>
      <c r="C88" s="49"/>
      <c r="D88" s="49"/>
      <c r="E88" s="50"/>
      <c r="F88" s="184"/>
      <c r="G88" s="180"/>
      <c r="H88" s="178"/>
      <c r="I88" s="178"/>
      <c r="J88" s="178"/>
      <c r="K88" s="178"/>
      <c r="L88" s="178"/>
      <c r="M88" s="218"/>
      <c r="N88" s="218"/>
      <c r="O88" s="218"/>
      <c r="P88" s="218"/>
      <c r="Q88" s="178"/>
      <c r="R88" s="178"/>
    </row>
    <row r="89" spans="1:18" ht="15.6" x14ac:dyDescent="0.3">
      <c r="A89" s="273"/>
      <c r="B89" s="67"/>
      <c r="C89" s="68"/>
      <c r="D89" s="68"/>
      <c r="E89" s="69"/>
      <c r="F89" s="184"/>
      <c r="G89" s="180"/>
      <c r="H89" s="178"/>
      <c r="I89" s="178"/>
      <c r="J89" s="178"/>
      <c r="K89" s="178"/>
      <c r="L89" s="178"/>
      <c r="M89" s="218"/>
      <c r="N89" s="218"/>
      <c r="O89" s="218"/>
      <c r="P89" s="218"/>
      <c r="Q89" s="178"/>
      <c r="R89" s="178"/>
    </row>
    <row r="90" spans="1:18" ht="15.6" x14ac:dyDescent="0.3">
      <c r="A90" s="274">
        <v>16.2</v>
      </c>
      <c r="B90" s="70" t="s">
        <v>241</v>
      </c>
      <c r="C90" s="71"/>
      <c r="D90" s="72"/>
      <c r="E90" s="73"/>
      <c r="F90" s="185"/>
      <c r="G90" s="189" t="s">
        <v>580</v>
      </c>
      <c r="H90" s="189"/>
      <c r="I90" s="189"/>
      <c r="J90" s="189"/>
      <c r="K90" s="238"/>
      <c r="L90" s="239"/>
      <c r="M90" s="239"/>
      <c r="N90" s="189"/>
      <c r="O90" s="189"/>
      <c r="P90" s="189"/>
      <c r="Q90" s="189"/>
      <c r="R90" s="189"/>
    </row>
    <row r="91" spans="1:18" ht="46.8" x14ac:dyDescent="0.3">
      <c r="A91" s="275"/>
      <c r="B91" s="51" t="s">
        <v>242</v>
      </c>
      <c r="C91" s="44"/>
      <c r="D91" s="74"/>
      <c r="E91" s="45"/>
      <c r="F91" s="184"/>
      <c r="G91" s="180"/>
      <c r="H91" s="178"/>
      <c r="I91" s="178"/>
      <c r="J91" s="178"/>
      <c r="K91" s="178"/>
      <c r="L91" s="178"/>
      <c r="M91" s="218"/>
      <c r="N91" s="218"/>
      <c r="O91" s="218"/>
      <c r="P91" s="218"/>
      <c r="Q91" s="178"/>
      <c r="R91" s="178"/>
    </row>
    <row r="92" spans="1:18" ht="15.6" x14ac:dyDescent="0.3">
      <c r="A92" s="269" t="s">
        <v>243</v>
      </c>
      <c r="B92" s="55" t="s">
        <v>314</v>
      </c>
      <c r="C92" s="52" t="s">
        <v>2</v>
      </c>
      <c r="D92" s="52">
        <v>1300</v>
      </c>
      <c r="E92" s="222">
        <f t="shared" ref="E92:E100" si="28">ROUNDUP(H92*$J$2,0)</f>
        <v>19</v>
      </c>
      <c r="F92" s="222">
        <f t="shared" ref="F92:F100" si="29">D92*E92</f>
        <v>24700</v>
      </c>
      <c r="G92" s="188" t="s">
        <v>882</v>
      </c>
      <c r="H92" s="163">
        <f t="shared" ref="H92:H101" si="30">K92</f>
        <v>19</v>
      </c>
      <c r="I92" s="188" t="s">
        <v>1029</v>
      </c>
      <c r="J92" s="159"/>
      <c r="K92" s="164">
        <f t="shared" ref="K92:K100" si="31">L92+M92+N92+O92+P92</f>
        <v>19</v>
      </c>
      <c r="L92" s="164"/>
      <c r="M92" s="165">
        <v>15</v>
      </c>
      <c r="N92" s="164">
        <v>1</v>
      </c>
      <c r="O92" s="166"/>
      <c r="P92" s="164">
        <v>3</v>
      </c>
      <c r="Q92" s="188"/>
      <c r="R92" s="188"/>
    </row>
    <row r="93" spans="1:18" ht="15.6" x14ac:dyDescent="0.3">
      <c r="A93" s="269" t="s">
        <v>244</v>
      </c>
      <c r="B93" s="55" t="s">
        <v>245</v>
      </c>
      <c r="C93" s="52" t="s">
        <v>2</v>
      </c>
      <c r="D93" s="52">
        <v>2220</v>
      </c>
      <c r="E93" s="222">
        <f t="shared" si="28"/>
        <v>19</v>
      </c>
      <c r="F93" s="222">
        <f t="shared" si="29"/>
        <v>42180</v>
      </c>
      <c r="G93" s="188" t="s">
        <v>882</v>
      </c>
      <c r="H93" s="163">
        <f t="shared" si="30"/>
        <v>19</v>
      </c>
      <c r="I93" s="188" t="s">
        <v>1042</v>
      </c>
      <c r="J93" s="159"/>
      <c r="K93" s="164">
        <f t="shared" si="31"/>
        <v>19</v>
      </c>
      <c r="L93" s="164"/>
      <c r="M93" s="165">
        <v>15</v>
      </c>
      <c r="N93" s="164">
        <v>1</v>
      </c>
      <c r="O93" s="166"/>
      <c r="P93" s="164">
        <v>3</v>
      </c>
      <c r="Q93" s="188"/>
      <c r="R93" s="188"/>
    </row>
    <row r="94" spans="1:18" ht="15.6" x14ac:dyDescent="0.3">
      <c r="A94" s="269" t="s">
        <v>246</v>
      </c>
      <c r="B94" s="67" t="s">
        <v>247</v>
      </c>
      <c r="C94" s="68" t="s">
        <v>8</v>
      </c>
      <c r="D94" s="68">
        <v>10</v>
      </c>
      <c r="E94" s="222">
        <f t="shared" si="28"/>
        <v>495</v>
      </c>
      <c r="F94" s="222">
        <f t="shared" si="29"/>
        <v>4950</v>
      </c>
      <c r="G94" s="188" t="s">
        <v>882</v>
      </c>
      <c r="H94" s="163">
        <f t="shared" si="30"/>
        <v>495</v>
      </c>
      <c r="I94" s="188" t="s">
        <v>1048</v>
      </c>
      <c r="J94" s="159"/>
      <c r="K94" s="164">
        <f t="shared" si="31"/>
        <v>495</v>
      </c>
      <c r="L94" s="164"/>
      <c r="M94" s="165">
        <v>485</v>
      </c>
      <c r="N94" s="164">
        <v>5</v>
      </c>
      <c r="O94" s="166"/>
      <c r="P94" s="164">
        <v>5</v>
      </c>
      <c r="Q94" s="188"/>
      <c r="R94" s="188"/>
    </row>
    <row r="95" spans="1:18" ht="15.6" x14ac:dyDescent="0.3">
      <c r="A95" s="269" t="s">
        <v>248</v>
      </c>
      <c r="B95" s="67" t="s">
        <v>249</v>
      </c>
      <c r="C95" s="68" t="s">
        <v>8</v>
      </c>
      <c r="D95" s="68">
        <v>12</v>
      </c>
      <c r="E95" s="222">
        <f t="shared" si="28"/>
        <v>195</v>
      </c>
      <c r="F95" s="222">
        <f t="shared" si="29"/>
        <v>2340</v>
      </c>
      <c r="G95" s="188" t="s">
        <v>882</v>
      </c>
      <c r="H95" s="163">
        <f t="shared" si="30"/>
        <v>195</v>
      </c>
      <c r="I95" s="188" t="s">
        <v>1049</v>
      </c>
      <c r="J95" s="159"/>
      <c r="K95" s="164">
        <f t="shared" si="31"/>
        <v>195</v>
      </c>
      <c r="L95" s="164"/>
      <c r="M95" s="165">
        <v>185</v>
      </c>
      <c r="N95" s="164">
        <v>5</v>
      </c>
      <c r="O95" s="166"/>
      <c r="P95" s="164">
        <v>5</v>
      </c>
      <c r="Q95" s="188"/>
      <c r="R95" s="188"/>
    </row>
    <row r="96" spans="1:18" ht="15.6" x14ac:dyDescent="0.3">
      <c r="A96" s="269" t="s">
        <v>250</v>
      </c>
      <c r="B96" s="67" t="s">
        <v>251</v>
      </c>
      <c r="C96" s="68" t="s">
        <v>8</v>
      </c>
      <c r="D96" s="68">
        <v>3</v>
      </c>
      <c r="E96" s="222">
        <f t="shared" si="28"/>
        <v>1970</v>
      </c>
      <c r="F96" s="222">
        <f t="shared" si="29"/>
        <v>5910</v>
      </c>
      <c r="G96" s="188" t="s">
        <v>882</v>
      </c>
      <c r="H96" s="163">
        <f t="shared" si="30"/>
        <v>1970</v>
      </c>
      <c r="I96" s="188" t="s">
        <v>1050</v>
      </c>
      <c r="J96" s="159"/>
      <c r="K96" s="164">
        <f t="shared" si="31"/>
        <v>1970</v>
      </c>
      <c r="L96" s="164"/>
      <c r="M96" s="165">
        <v>1850</v>
      </c>
      <c r="N96" s="164">
        <v>20</v>
      </c>
      <c r="O96" s="166"/>
      <c r="P96" s="164">
        <v>100</v>
      </c>
      <c r="Q96" s="188"/>
      <c r="R96" s="188"/>
    </row>
    <row r="97" spans="1:18" ht="15.6" x14ac:dyDescent="0.3">
      <c r="A97" s="269" t="s">
        <v>252</v>
      </c>
      <c r="B97" s="67" t="s">
        <v>253</v>
      </c>
      <c r="C97" s="68" t="s">
        <v>8</v>
      </c>
      <c r="D97" s="68">
        <v>8</v>
      </c>
      <c r="E97" s="222">
        <f t="shared" si="28"/>
        <v>520</v>
      </c>
      <c r="F97" s="222">
        <f t="shared" si="29"/>
        <v>4160</v>
      </c>
      <c r="G97" s="188" t="s">
        <v>882</v>
      </c>
      <c r="H97" s="163">
        <f t="shared" si="30"/>
        <v>520</v>
      </c>
      <c r="I97" s="188" t="s">
        <v>1051</v>
      </c>
      <c r="J97" s="159"/>
      <c r="K97" s="164">
        <f t="shared" si="31"/>
        <v>520</v>
      </c>
      <c r="L97" s="164"/>
      <c r="M97" s="165">
        <v>485</v>
      </c>
      <c r="N97" s="164">
        <v>15</v>
      </c>
      <c r="O97" s="166"/>
      <c r="P97" s="164">
        <v>20</v>
      </c>
      <c r="Q97" s="188"/>
      <c r="R97" s="188"/>
    </row>
    <row r="98" spans="1:18" ht="15.6" x14ac:dyDescent="0.3">
      <c r="A98" s="269" t="s">
        <v>254</v>
      </c>
      <c r="B98" s="51" t="s">
        <v>255</v>
      </c>
      <c r="C98" s="68" t="s">
        <v>8</v>
      </c>
      <c r="D98" s="49">
        <v>2</v>
      </c>
      <c r="E98" s="222">
        <f t="shared" si="28"/>
        <v>960</v>
      </c>
      <c r="F98" s="222">
        <f t="shared" si="29"/>
        <v>1920</v>
      </c>
      <c r="G98" s="188" t="s">
        <v>882</v>
      </c>
      <c r="H98" s="163">
        <f t="shared" si="30"/>
        <v>960</v>
      </c>
      <c r="I98" s="188" t="s">
        <v>1051</v>
      </c>
      <c r="J98" s="159"/>
      <c r="K98" s="164">
        <f t="shared" si="31"/>
        <v>960</v>
      </c>
      <c r="L98" s="164"/>
      <c r="M98" s="165">
        <v>925</v>
      </c>
      <c r="N98" s="164">
        <v>15</v>
      </c>
      <c r="O98" s="166"/>
      <c r="P98" s="164">
        <v>20</v>
      </c>
      <c r="Q98" s="188"/>
      <c r="R98" s="188"/>
    </row>
    <row r="99" spans="1:18" ht="15.6" x14ac:dyDescent="0.3">
      <c r="A99" s="269" t="s">
        <v>256</v>
      </c>
      <c r="B99" s="51" t="s">
        <v>257</v>
      </c>
      <c r="C99" s="68" t="s">
        <v>45</v>
      </c>
      <c r="D99" s="49">
        <v>1</v>
      </c>
      <c r="E99" s="222">
        <f t="shared" si="28"/>
        <v>1870</v>
      </c>
      <c r="F99" s="222">
        <f t="shared" si="29"/>
        <v>1870</v>
      </c>
      <c r="G99" s="188" t="s">
        <v>882</v>
      </c>
      <c r="H99" s="163">
        <f t="shared" si="30"/>
        <v>1870</v>
      </c>
      <c r="I99" s="188" t="s">
        <v>1030</v>
      </c>
      <c r="J99" s="159"/>
      <c r="K99" s="164">
        <f t="shared" si="31"/>
        <v>1870</v>
      </c>
      <c r="L99" s="164"/>
      <c r="M99" s="165">
        <v>1850</v>
      </c>
      <c r="N99" s="164">
        <v>10</v>
      </c>
      <c r="O99" s="166"/>
      <c r="P99" s="164">
        <v>10</v>
      </c>
      <c r="Q99" s="188"/>
      <c r="R99" s="188"/>
    </row>
    <row r="100" spans="1:18" ht="15.6" x14ac:dyDescent="0.3">
      <c r="A100" s="269" t="s">
        <v>258</v>
      </c>
      <c r="B100" s="55" t="s">
        <v>149</v>
      </c>
      <c r="C100" s="52" t="s">
        <v>45</v>
      </c>
      <c r="D100" s="49">
        <v>1</v>
      </c>
      <c r="E100" s="222">
        <f t="shared" si="28"/>
        <v>5000</v>
      </c>
      <c r="F100" s="222">
        <f t="shared" si="29"/>
        <v>5000</v>
      </c>
      <c r="G100" s="188" t="s">
        <v>882</v>
      </c>
      <c r="H100" s="163">
        <f t="shared" si="30"/>
        <v>5000</v>
      </c>
      <c r="I100" s="188" t="s">
        <v>1018</v>
      </c>
      <c r="J100" s="159"/>
      <c r="K100" s="164">
        <f t="shared" si="31"/>
        <v>5000</v>
      </c>
      <c r="L100" s="164"/>
      <c r="M100" s="165">
        <v>5000</v>
      </c>
      <c r="N100" s="164"/>
      <c r="O100" s="166"/>
      <c r="P100" s="164"/>
      <c r="Q100" s="188"/>
      <c r="R100" s="188"/>
    </row>
    <row r="101" spans="1:18" ht="15.6" x14ac:dyDescent="0.3">
      <c r="A101" s="275"/>
      <c r="B101" s="51"/>
      <c r="C101" s="49"/>
      <c r="D101" s="98"/>
      <c r="E101" s="64"/>
      <c r="F101" s="53"/>
      <c r="G101" s="188"/>
      <c r="H101" s="163">
        <f t="shared" si="30"/>
        <v>0</v>
      </c>
      <c r="I101" s="188"/>
      <c r="J101" s="159"/>
      <c r="K101" s="164">
        <f t="shared" ref="K101" si="32">L101+M101+N101+O101+P101</f>
        <v>0</v>
      </c>
      <c r="L101" s="164"/>
      <c r="M101" s="165"/>
      <c r="N101" s="164"/>
      <c r="O101" s="166"/>
      <c r="P101" s="164"/>
      <c r="Q101" s="188"/>
      <c r="R101" s="188"/>
    </row>
    <row r="102" spans="1:18" ht="15.6" x14ac:dyDescent="0.3">
      <c r="A102" s="275"/>
      <c r="B102" s="51"/>
      <c r="C102" s="49"/>
      <c r="D102" s="98"/>
      <c r="E102" s="64"/>
      <c r="F102" s="53"/>
      <c r="G102" s="180"/>
      <c r="H102" s="178"/>
      <c r="I102" s="178"/>
      <c r="J102" s="178"/>
      <c r="K102" s="178"/>
      <c r="L102" s="178"/>
      <c r="M102" s="218"/>
      <c r="N102" s="218"/>
      <c r="O102" s="218"/>
      <c r="P102" s="218"/>
      <c r="Q102" s="178"/>
      <c r="R102" s="178"/>
    </row>
    <row r="103" spans="1:18" ht="15.6" x14ac:dyDescent="0.3">
      <c r="A103" s="275"/>
      <c r="B103" s="42" t="s">
        <v>285</v>
      </c>
      <c r="C103" s="49"/>
      <c r="D103" s="98"/>
      <c r="E103" s="64"/>
      <c r="F103" s="53"/>
      <c r="G103" s="189" t="s">
        <v>1023</v>
      </c>
      <c r="H103" s="189"/>
      <c r="I103" s="189"/>
      <c r="J103" s="189"/>
      <c r="K103" s="238"/>
      <c r="L103" s="239"/>
      <c r="M103" s="239"/>
      <c r="N103" s="189"/>
      <c r="O103" s="189"/>
      <c r="P103" s="189"/>
      <c r="Q103" s="189"/>
      <c r="R103" s="189"/>
    </row>
    <row r="104" spans="1:18" ht="15.6" x14ac:dyDescent="0.3">
      <c r="A104" s="275"/>
      <c r="B104" s="75" t="s">
        <v>284</v>
      </c>
      <c r="C104" s="49" t="s">
        <v>270</v>
      </c>
      <c r="D104" s="98">
        <v>1</v>
      </c>
      <c r="E104" s="222">
        <f t="shared" ref="E104:E119" si="33">ROUNDUP(H104*$J$2,0)</f>
        <v>1865</v>
      </c>
      <c r="F104" s="222">
        <f t="shared" ref="F104:F119" si="34">D104*E104</f>
        <v>1865</v>
      </c>
      <c r="G104" s="188" t="s">
        <v>1023</v>
      </c>
      <c r="H104" s="163">
        <f t="shared" ref="H104:H119" si="35">K104</f>
        <v>1865</v>
      </c>
      <c r="I104" s="188" t="s">
        <v>1052</v>
      </c>
      <c r="J104" s="159"/>
      <c r="K104" s="164">
        <f t="shared" ref="K104:K119" si="36">L104+M104+N104+O104+P104</f>
        <v>1865</v>
      </c>
      <c r="L104" s="164"/>
      <c r="M104" s="165">
        <v>1850</v>
      </c>
      <c r="N104" s="164">
        <v>10</v>
      </c>
      <c r="O104" s="166"/>
      <c r="P104" s="164">
        <v>5</v>
      </c>
      <c r="Q104" s="188"/>
      <c r="R104" s="188"/>
    </row>
    <row r="105" spans="1:18" ht="31.2" x14ac:dyDescent="0.3">
      <c r="A105" s="275"/>
      <c r="B105" s="75" t="s">
        <v>283</v>
      </c>
      <c r="C105" s="49" t="s">
        <v>270</v>
      </c>
      <c r="D105" s="98">
        <v>1</v>
      </c>
      <c r="E105" s="222">
        <f t="shared" si="33"/>
        <v>960</v>
      </c>
      <c r="F105" s="222">
        <f t="shared" si="34"/>
        <v>960</v>
      </c>
      <c r="G105" s="188" t="s">
        <v>1023</v>
      </c>
      <c r="H105" s="163">
        <f t="shared" si="35"/>
        <v>960</v>
      </c>
      <c r="I105" s="188" t="s">
        <v>1052</v>
      </c>
      <c r="J105" s="159"/>
      <c r="K105" s="164">
        <f t="shared" si="36"/>
        <v>960</v>
      </c>
      <c r="L105" s="164"/>
      <c r="M105" s="165">
        <v>950</v>
      </c>
      <c r="N105" s="164">
        <v>5</v>
      </c>
      <c r="O105" s="166"/>
      <c r="P105" s="164">
        <v>5</v>
      </c>
      <c r="Q105" s="188"/>
      <c r="R105" s="188"/>
    </row>
    <row r="106" spans="1:18" ht="15.6" x14ac:dyDescent="0.3">
      <c r="A106" s="275"/>
      <c r="B106" s="75" t="s">
        <v>282</v>
      </c>
      <c r="C106" s="49" t="s">
        <v>270</v>
      </c>
      <c r="D106" s="98">
        <v>1</v>
      </c>
      <c r="E106" s="222">
        <f t="shared" si="33"/>
        <v>1310</v>
      </c>
      <c r="F106" s="222">
        <f t="shared" si="34"/>
        <v>1310</v>
      </c>
      <c r="G106" s="188" t="s">
        <v>1023</v>
      </c>
      <c r="H106" s="163">
        <f t="shared" si="35"/>
        <v>1310</v>
      </c>
      <c r="I106" s="188" t="s">
        <v>1052</v>
      </c>
      <c r="J106" s="159"/>
      <c r="K106" s="164">
        <f t="shared" si="36"/>
        <v>1310</v>
      </c>
      <c r="L106" s="164"/>
      <c r="M106" s="165">
        <v>1250</v>
      </c>
      <c r="N106" s="164">
        <v>50</v>
      </c>
      <c r="O106" s="166"/>
      <c r="P106" s="164">
        <v>10</v>
      </c>
      <c r="Q106" s="188"/>
      <c r="R106" s="188"/>
    </row>
    <row r="107" spans="1:18" ht="15.6" x14ac:dyDescent="0.3">
      <c r="A107" s="275"/>
      <c r="B107" s="75" t="s">
        <v>281</v>
      </c>
      <c r="C107" s="49" t="s">
        <v>270</v>
      </c>
      <c r="D107" s="98">
        <v>1</v>
      </c>
      <c r="E107" s="222">
        <f t="shared" si="33"/>
        <v>295</v>
      </c>
      <c r="F107" s="222">
        <f t="shared" si="34"/>
        <v>295</v>
      </c>
      <c r="G107" s="188" t="s">
        <v>1023</v>
      </c>
      <c r="H107" s="163">
        <f t="shared" si="35"/>
        <v>295</v>
      </c>
      <c r="I107" s="188" t="s">
        <v>1052</v>
      </c>
      <c r="J107" s="159"/>
      <c r="K107" s="164">
        <f t="shared" si="36"/>
        <v>295</v>
      </c>
      <c r="L107" s="164"/>
      <c r="M107" s="165">
        <v>285</v>
      </c>
      <c r="N107" s="164">
        <v>5</v>
      </c>
      <c r="O107" s="166"/>
      <c r="P107" s="164">
        <v>5</v>
      </c>
      <c r="Q107" s="188"/>
      <c r="R107" s="188"/>
    </row>
    <row r="108" spans="1:18" ht="15.6" x14ac:dyDescent="0.3">
      <c r="A108" s="275"/>
      <c r="B108" s="75" t="s">
        <v>272</v>
      </c>
      <c r="C108" s="49" t="s">
        <v>270</v>
      </c>
      <c r="D108" s="98">
        <v>1</v>
      </c>
      <c r="E108" s="222">
        <f t="shared" si="33"/>
        <v>195</v>
      </c>
      <c r="F108" s="222">
        <f t="shared" si="34"/>
        <v>195</v>
      </c>
      <c r="G108" s="188" t="s">
        <v>1023</v>
      </c>
      <c r="H108" s="163">
        <f t="shared" si="35"/>
        <v>195</v>
      </c>
      <c r="I108" s="188" t="s">
        <v>1052</v>
      </c>
      <c r="J108" s="159"/>
      <c r="K108" s="164">
        <f t="shared" si="36"/>
        <v>195</v>
      </c>
      <c r="L108" s="164"/>
      <c r="M108" s="165">
        <v>185</v>
      </c>
      <c r="N108" s="164">
        <v>5</v>
      </c>
      <c r="O108" s="166"/>
      <c r="P108" s="164">
        <v>5</v>
      </c>
      <c r="Q108" s="188"/>
      <c r="R108" s="188"/>
    </row>
    <row r="109" spans="1:18" ht="31.2" x14ac:dyDescent="0.3">
      <c r="A109" s="275"/>
      <c r="B109" s="75" t="s">
        <v>280</v>
      </c>
      <c r="C109" s="49" t="s">
        <v>270</v>
      </c>
      <c r="D109" s="98">
        <v>1</v>
      </c>
      <c r="E109" s="222">
        <f t="shared" si="33"/>
        <v>4880</v>
      </c>
      <c r="F109" s="222">
        <f t="shared" si="34"/>
        <v>4880</v>
      </c>
      <c r="G109" s="188" t="s">
        <v>1023</v>
      </c>
      <c r="H109" s="163">
        <f t="shared" si="35"/>
        <v>4880</v>
      </c>
      <c r="I109" s="188" t="s">
        <v>1052</v>
      </c>
      <c r="J109" s="159"/>
      <c r="K109" s="164">
        <f t="shared" si="36"/>
        <v>4880</v>
      </c>
      <c r="L109" s="164"/>
      <c r="M109" s="165">
        <v>4850</v>
      </c>
      <c r="N109" s="164">
        <v>20</v>
      </c>
      <c r="O109" s="166"/>
      <c r="P109" s="164">
        <v>10</v>
      </c>
      <c r="Q109" s="188"/>
      <c r="R109" s="188"/>
    </row>
    <row r="110" spans="1:18" ht="31.2" x14ac:dyDescent="0.3">
      <c r="A110" s="275"/>
      <c r="B110" s="75" t="s">
        <v>279</v>
      </c>
      <c r="C110" s="49" t="s">
        <v>270</v>
      </c>
      <c r="D110" s="98">
        <v>3</v>
      </c>
      <c r="E110" s="222">
        <f t="shared" si="33"/>
        <v>1270</v>
      </c>
      <c r="F110" s="222">
        <f t="shared" si="34"/>
        <v>3810</v>
      </c>
      <c r="G110" s="188" t="s">
        <v>1023</v>
      </c>
      <c r="H110" s="163">
        <f t="shared" si="35"/>
        <v>1270</v>
      </c>
      <c r="I110" s="188" t="s">
        <v>1052</v>
      </c>
      <c r="J110" s="159"/>
      <c r="K110" s="164">
        <f t="shared" si="36"/>
        <v>1270</v>
      </c>
      <c r="L110" s="164"/>
      <c r="M110" s="165">
        <v>1250</v>
      </c>
      <c r="N110" s="164">
        <v>10</v>
      </c>
      <c r="O110" s="166"/>
      <c r="P110" s="164">
        <v>10</v>
      </c>
      <c r="Q110" s="188"/>
      <c r="R110" s="188"/>
    </row>
    <row r="111" spans="1:18" ht="31.2" x14ac:dyDescent="0.3">
      <c r="A111" s="275"/>
      <c r="B111" s="75" t="s">
        <v>278</v>
      </c>
      <c r="C111" s="49" t="s">
        <v>270</v>
      </c>
      <c r="D111" s="98">
        <v>3</v>
      </c>
      <c r="E111" s="222">
        <f t="shared" si="33"/>
        <v>495</v>
      </c>
      <c r="F111" s="222">
        <f t="shared" si="34"/>
        <v>1485</v>
      </c>
      <c r="G111" s="188" t="s">
        <v>1023</v>
      </c>
      <c r="H111" s="163">
        <f t="shared" si="35"/>
        <v>495</v>
      </c>
      <c r="I111" s="188" t="s">
        <v>1052</v>
      </c>
      <c r="J111" s="159"/>
      <c r="K111" s="164">
        <f t="shared" si="36"/>
        <v>495</v>
      </c>
      <c r="L111" s="164"/>
      <c r="M111" s="165">
        <v>485</v>
      </c>
      <c r="N111" s="164">
        <v>5</v>
      </c>
      <c r="O111" s="166"/>
      <c r="P111" s="164">
        <v>5</v>
      </c>
      <c r="Q111" s="188"/>
      <c r="R111" s="188"/>
    </row>
    <row r="112" spans="1:18" ht="31.2" x14ac:dyDescent="0.3">
      <c r="A112" s="275"/>
      <c r="B112" s="75" t="s">
        <v>277</v>
      </c>
      <c r="C112" s="49" t="s">
        <v>270</v>
      </c>
      <c r="D112" s="98">
        <v>3</v>
      </c>
      <c r="E112" s="222">
        <f t="shared" si="33"/>
        <v>395</v>
      </c>
      <c r="F112" s="222">
        <f t="shared" si="34"/>
        <v>1185</v>
      </c>
      <c r="G112" s="188" t="s">
        <v>1023</v>
      </c>
      <c r="H112" s="163">
        <f t="shared" si="35"/>
        <v>395</v>
      </c>
      <c r="I112" s="188" t="s">
        <v>1052</v>
      </c>
      <c r="J112" s="159"/>
      <c r="K112" s="164">
        <f t="shared" si="36"/>
        <v>395</v>
      </c>
      <c r="L112" s="164"/>
      <c r="M112" s="165">
        <v>385</v>
      </c>
      <c r="N112" s="164">
        <v>5</v>
      </c>
      <c r="O112" s="166"/>
      <c r="P112" s="164">
        <v>5</v>
      </c>
      <c r="Q112" s="188"/>
      <c r="R112" s="188"/>
    </row>
    <row r="113" spans="1:18" ht="31.2" x14ac:dyDescent="0.3">
      <c r="A113" s="275"/>
      <c r="B113" s="75" t="s">
        <v>276</v>
      </c>
      <c r="C113" s="49" t="s">
        <v>270</v>
      </c>
      <c r="D113" s="98">
        <v>3</v>
      </c>
      <c r="E113" s="222">
        <f t="shared" si="33"/>
        <v>235</v>
      </c>
      <c r="F113" s="222">
        <f t="shared" si="34"/>
        <v>705</v>
      </c>
      <c r="G113" s="188" t="s">
        <v>1023</v>
      </c>
      <c r="H113" s="163">
        <f t="shared" si="35"/>
        <v>235</v>
      </c>
      <c r="I113" s="188" t="s">
        <v>1052</v>
      </c>
      <c r="J113" s="159"/>
      <c r="K113" s="164">
        <f t="shared" si="36"/>
        <v>235</v>
      </c>
      <c r="L113" s="164"/>
      <c r="M113" s="165">
        <v>225</v>
      </c>
      <c r="N113" s="164">
        <v>5</v>
      </c>
      <c r="O113" s="166"/>
      <c r="P113" s="164">
        <v>5</v>
      </c>
      <c r="Q113" s="188"/>
      <c r="R113" s="188"/>
    </row>
    <row r="114" spans="1:18" ht="15.6" x14ac:dyDescent="0.3">
      <c r="A114" s="275"/>
      <c r="B114" s="75" t="s">
        <v>272</v>
      </c>
      <c r="C114" s="49" t="s">
        <v>270</v>
      </c>
      <c r="D114" s="98">
        <v>3</v>
      </c>
      <c r="E114" s="222">
        <f t="shared" si="33"/>
        <v>195</v>
      </c>
      <c r="F114" s="222">
        <f t="shared" si="34"/>
        <v>585</v>
      </c>
      <c r="G114" s="188" t="s">
        <v>1023</v>
      </c>
      <c r="H114" s="163">
        <f t="shared" si="35"/>
        <v>195</v>
      </c>
      <c r="I114" s="188" t="s">
        <v>1052</v>
      </c>
      <c r="J114" s="159"/>
      <c r="K114" s="164">
        <f t="shared" si="36"/>
        <v>195</v>
      </c>
      <c r="L114" s="164"/>
      <c r="M114" s="165">
        <v>185</v>
      </c>
      <c r="N114" s="164">
        <v>5</v>
      </c>
      <c r="O114" s="166"/>
      <c r="P114" s="164">
        <v>5</v>
      </c>
      <c r="Q114" s="188"/>
      <c r="R114" s="188"/>
    </row>
    <row r="115" spans="1:18" ht="31.2" x14ac:dyDescent="0.3">
      <c r="A115" s="275"/>
      <c r="B115" s="75" t="s">
        <v>275</v>
      </c>
      <c r="C115" s="49" t="s">
        <v>270</v>
      </c>
      <c r="D115" s="98">
        <v>2</v>
      </c>
      <c r="E115" s="222">
        <f t="shared" si="33"/>
        <v>495</v>
      </c>
      <c r="F115" s="222">
        <f t="shared" si="34"/>
        <v>990</v>
      </c>
      <c r="G115" s="188" t="s">
        <v>1023</v>
      </c>
      <c r="H115" s="163">
        <f t="shared" si="35"/>
        <v>495</v>
      </c>
      <c r="I115" s="188" t="s">
        <v>1052</v>
      </c>
      <c r="J115" s="159"/>
      <c r="K115" s="164">
        <f t="shared" si="36"/>
        <v>495</v>
      </c>
      <c r="L115" s="164"/>
      <c r="M115" s="165">
        <v>485</v>
      </c>
      <c r="N115" s="164">
        <v>5</v>
      </c>
      <c r="O115" s="166"/>
      <c r="P115" s="164">
        <v>5</v>
      </c>
      <c r="Q115" s="188"/>
      <c r="R115" s="188"/>
    </row>
    <row r="116" spans="1:18" ht="15.6" x14ac:dyDescent="0.3">
      <c r="A116" s="275"/>
      <c r="B116" s="75" t="s">
        <v>274</v>
      </c>
      <c r="C116" s="49" t="s">
        <v>270</v>
      </c>
      <c r="D116" s="98">
        <v>3</v>
      </c>
      <c r="E116" s="222">
        <f t="shared" si="33"/>
        <v>595</v>
      </c>
      <c r="F116" s="222">
        <f t="shared" si="34"/>
        <v>1785</v>
      </c>
      <c r="G116" s="188" t="s">
        <v>1023</v>
      </c>
      <c r="H116" s="163">
        <f t="shared" si="35"/>
        <v>595</v>
      </c>
      <c r="I116" s="188" t="s">
        <v>1052</v>
      </c>
      <c r="J116" s="159"/>
      <c r="K116" s="164">
        <f t="shared" si="36"/>
        <v>595</v>
      </c>
      <c r="L116" s="164"/>
      <c r="M116" s="165">
        <v>585</v>
      </c>
      <c r="N116" s="164">
        <v>5</v>
      </c>
      <c r="O116" s="166"/>
      <c r="P116" s="164">
        <v>5</v>
      </c>
      <c r="Q116" s="188"/>
      <c r="R116" s="188"/>
    </row>
    <row r="117" spans="1:18" ht="15.6" x14ac:dyDescent="0.3">
      <c r="A117" s="275"/>
      <c r="B117" s="75" t="s">
        <v>273</v>
      </c>
      <c r="C117" s="49" t="s">
        <v>270</v>
      </c>
      <c r="D117" s="98">
        <v>3</v>
      </c>
      <c r="E117" s="222">
        <f t="shared" si="33"/>
        <v>295</v>
      </c>
      <c r="F117" s="222">
        <f t="shared" si="34"/>
        <v>885</v>
      </c>
      <c r="G117" s="188" t="s">
        <v>1023</v>
      </c>
      <c r="H117" s="163">
        <f t="shared" si="35"/>
        <v>295</v>
      </c>
      <c r="I117" s="188" t="s">
        <v>1052</v>
      </c>
      <c r="J117" s="159"/>
      <c r="K117" s="164">
        <f t="shared" si="36"/>
        <v>295</v>
      </c>
      <c r="L117" s="164"/>
      <c r="M117" s="165">
        <v>285</v>
      </c>
      <c r="N117" s="164">
        <v>5</v>
      </c>
      <c r="O117" s="166"/>
      <c r="P117" s="164">
        <v>5</v>
      </c>
      <c r="Q117" s="188"/>
      <c r="R117" s="188"/>
    </row>
    <row r="118" spans="1:18" ht="15.6" x14ac:dyDescent="0.3">
      <c r="A118" s="275"/>
      <c r="B118" s="75" t="s">
        <v>272</v>
      </c>
      <c r="C118" s="49" t="s">
        <v>270</v>
      </c>
      <c r="D118" s="98">
        <v>3</v>
      </c>
      <c r="E118" s="222">
        <f t="shared" si="33"/>
        <v>195</v>
      </c>
      <c r="F118" s="222">
        <f t="shared" si="34"/>
        <v>585</v>
      </c>
      <c r="G118" s="188" t="s">
        <v>1023</v>
      </c>
      <c r="H118" s="163">
        <f t="shared" si="35"/>
        <v>195</v>
      </c>
      <c r="I118" s="188" t="s">
        <v>1052</v>
      </c>
      <c r="J118" s="159"/>
      <c r="K118" s="164">
        <f t="shared" si="36"/>
        <v>195</v>
      </c>
      <c r="L118" s="164"/>
      <c r="M118" s="165">
        <v>185</v>
      </c>
      <c r="N118" s="164">
        <v>5</v>
      </c>
      <c r="O118" s="166"/>
      <c r="P118" s="164">
        <v>5</v>
      </c>
      <c r="Q118" s="188"/>
      <c r="R118" s="188"/>
    </row>
    <row r="119" spans="1:18" ht="15.6" x14ac:dyDescent="0.3">
      <c r="A119" s="275"/>
      <c r="B119" s="75" t="s">
        <v>271</v>
      </c>
      <c r="C119" s="49" t="s">
        <v>270</v>
      </c>
      <c r="D119" s="98">
        <v>1</v>
      </c>
      <c r="E119" s="222">
        <f t="shared" si="33"/>
        <v>12500</v>
      </c>
      <c r="F119" s="222">
        <f t="shared" si="34"/>
        <v>12500</v>
      </c>
      <c r="G119" s="188" t="s">
        <v>1023</v>
      </c>
      <c r="H119" s="163">
        <f t="shared" si="35"/>
        <v>12500</v>
      </c>
      <c r="I119" s="188" t="s">
        <v>1018</v>
      </c>
      <c r="J119" s="159"/>
      <c r="K119" s="164">
        <f t="shared" si="36"/>
        <v>12500</v>
      </c>
      <c r="L119" s="164"/>
      <c r="M119" s="165">
        <v>12500</v>
      </c>
      <c r="N119" s="164"/>
      <c r="O119" s="166"/>
      <c r="P119" s="164"/>
      <c r="Q119" s="188"/>
      <c r="R119" s="188"/>
    </row>
    <row r="120" spans="1:18" ht="15.6" x14ac:dyDescent="0.3">
      <c r="A120" s="275"/>
      <c r="B120" s="34" t="s">
        <v>82</v>
      </c>
      <c r="C120" s="24"/>
      <c r="D120" s="24"/>
      <c r="E120" s="35"/>
      <c r="F120" s="22"/>
      <c r="G120" s="177"/>
      <c r="H120" s="178"/>
      <c r="I120" s="178"/>
      <c r="J120" s="178"/>
      <c r="K120" s="178"/>
      <c r="L120" s="178"/>
      <c r="M120" s="178"/>
      <c r="N120" s="178"/>
      <c r="O120" s="178"/>
      <c r="P120" s="178"/>
      <c r="Q120" s="178"/>
      <c r="R120" s="178"/>
    </row>
    <row r="121" spans="1:18" ht="15.6" x14ac:dyDescent="0.3">
      <c r="A121" s="275" t="s">
        <v>999</v>
      </c>
      <c r="B121" s="246" t="s">
        <v>1001</v>
      </c>
      <c r="C121" s="247" t="s">
        <v>7</v>
      </c>
      <c r="D121" s="247">
        <v>20</v>
      </c>
      <c r="E121" s="248">
        <f t="shared" ref="E121:E122" si="37">ROUNDUP(H121*$J$2,0)</f>
        <v>109</v>
      </c>
      <c r="F121" s="22">
        <f t="shared" ref="F121:F122" si="38">D121*E121</f>
        <v>2180</v>
      </c>
      <c r="G121" s="172" t="s">
        <v>1057</v>
      </c>
      <c r="H121" s="157">
        <f t="shared" ref="H121:H122" si="39">K121</f>
        <v>109</v>
      </c>
      <c r="I121" s="172"/>
      <c r="J121" s="159"/>
      <c r="K121" s="160">
        <f t="shared" ref="K121:K122" si="40">L121+M121+N121+O121+P121</f>
        <v>109</v>
      </c>
      <c r="L121" s="160">
        <v>0</v>
      </c>
      <c r="M121" s="161">
        <v>55</v>
      </c>
      <c r="N121" s="160">
        <v>8</v>
      </c>
      <c r="O121" s="162">
        <v>40</v>
      </c>
      <c r="P121" s="160">
        <v>6</v>
      </c>
      <c r="Q121" s="173"/>
      <c r="R121" s="173"/>
    </row>
    <row r="122" spans="1:18" ht="15.6" x14ac:dyDescent="0.3">
      <c r="A122" s="275" t="s">
        <v>1000</v>
      </c>
      <c r="B122" s="246" t="s">
        <v>1002</v>
      </c>
      <c r="C122" s="247" t="s">
        <v>7</v>
      </c>
      <c r="D122" s="247">
        <v>15</v>
      </c>
      <c r="E122" s="248">
        <f t="shared" si="37"/>
        <v>144</v>
      </c>
      <c r="F122" s="22">
        <f t="shared" si="38"/>
        <v>2160</v>
      </c>
      <c r="G122" s="172" t="s">
        <v>1057</v>
      </c>
      <c r="H122" s="157">
        <f t="shared" si="39"/>
        <v>144</v>
      </c>
      <c r="I122" s="172"/>
      <c r="J122" s="159"/>
      <c r="K122" s="160">
        <f t="shared" si="40"/>
        <v>144</v>
      </c>
      <c r="L122" s="160">
        <v>0</v>
      </c>
      <c r="M122" s="161">
        <v>90</v>
      </c>
      <c r="N122" s="160">
        <v>8</v>
      </c>
      <c r="O122" s="162">
        <v>40</v>
      </c>
      <c r="P122" s="160">
        <v>6</v>
      </c>
      <c r="Q122" s="173"/>
      <c r="R122" s="173"/>
    </row>
    <row r="123" spans="1:18" ht="16.2" thickBot="1" x14ac:dyDescent="0.35">
      <c r="A123" s="276"/>
      <c r="B123" s="79"/>
      <c r="C123" s="80"/>
      <c r="D123" s="99"/>
      <c r="E123" s="81"/>
      <c r="F123" s="186"/>
      <c r="G123" s="180"/>
      <c r="H123" s="178"/>
      <c r="I123" s="178"/>
      <c r="J123" s="178"/>
      <c r="K123" s="178"/>
      <c r="L123" s="178"/>
      <c r="M123" s="218"/>
      <c r="N123" s="218"/>
      <c r="O123" s="218"/>
      <c r="P123" s="218"/>
      <c r="Q123" s="178"/>
    </row>
    <row r="124" spans="1:18" ht="16.2" thickBot="1" x14ac:dyDescent="0.35">
      <c r="A124" s="190" t="s">
        <v>355</v>
      </c>
      <c r="B124" s="153"/>
      <c r="C124" s="153"/>
      <c r="D124" s="153"/>
      <c r="E124" s="154"/>
      <c r="F124" s="182">
        <f>SUM(F4:F123)</f>
        <v>1036091</v>
      </c>
      <c r="G124" s="178"/>
      <c r="H124" s="179"/>
      <c r="I124" s="178"/>
      <c r="J124" s="178"/>
      <c r="K124" s="178"/>
      <c r="L124" s="178"/>
      <c r="M124" s="218"/>
      <c r="N124" s="218"/>
      <c r="O124" s="218"/>
      <c r="P124" s="218"/>
      <c r="Q124" s="178"/>
    </row>
    <row r="125" spans="1:18" ht="15.6" x14ac:dyDescent="0.3">
      <c r="A125" s="100"/>
      <c r="B125" s="39"/>
      <c r="C125" s="39"/>
      <c r="D125" s="100"/>
      <c r="E125" s="82"/>
      <c r="F125" s="82"/>
      <c r="H125" s="43"/>
    </row>
    <row r="126" spans="1:18" ht="15.6" x14ac:dyDescent="0.3">
      <c r="A126" s="100"/>
      <c r="B126" s="39"/>
      <c r="C126" s="39"/>
      <c r="D126" s="100"/>
      <c r="E126" s="40"/>
      <c r="F126" s="40"/>
    </row>
    <row r="127" spans="1:18" ht="15.6" x14ac:dyDescent="0.3">
      <c r="A127" s="100"/>
      <c r="B127" s="39"/>
      <c r="C127" s="39"/>
      <c r="D127" s="100"/>
      <c r="E127" s="40"/>
      <c r="F127" s="40"/>
    </row>
    <row r="128" spans="1:18" ht="15.6" x14ac:dyDescent="0.3">
      <c r="A128" s="100"/>
      <c r="B128" s="39"/>
      <c r="C128" s="39"/>
      <c r="D128" s="100"/>
      <c r="E128" s="40"/>
      <c r="F128" s="40"/>
    </row>
    <row r="129" spans="1:6" ht="15.6" x14ac:dyDescent="0.3">
      <c r="A129" s="100"/>
      <c r="B129" s="39"/>
      <c r="C129" s="39"/>
      <c r="D129" s="100"/>
      <c r="E129" s="40"/>
      <c r="F129" s="40"/>
    </row>
    <row r="130" spans="1:6" ht="15.6" x14ac:dyDescent="0.3">
      <c r="A130" s="100"/>
      <c r="B130" s="39"/>
      <c r="C130" s="39"/>
      <c r="D130" s="100"/>
      <c r="E130" s="40"/>
      <c r="F130" s="40"/>
    </row>
    <row r="131" spans="1:6" ht="15.6" x14ac:dyDescent="0.3">
      <c r="A131" s="100"/>
      <c r="B131" s="39"/>
      <c r="C131" s="39"/>
      <c r="D131" s="100"/>
      <c r="E131" s="40"/>
      <c r="F131" s="40"/>
    </row>
    <row r="132" spans="1:6" ht="15.6" x14ac:dyDescent="0.3">
      <c r="A132" s="100"/>
      <c r="B132" s="39"/>
      <c r="C132" s="39"/>
      <c r="D132" s="100"/>
      <c r="E132" s="40"/>
      <c r="F132" s="40"/>
    </row>
    <row r="133" spans="1:6" ht="15.6" x14ac:dyDescent="0.3">
      <c r="A133" s="100"/>
      <c r="B133" s="39"/>
      <c r="C133" s="39"/>
      <c r="D133" s="100"/>
      <c r="E133" s="40"/>
      <c r="F133" s="40"/>
    </row>
    <row r="134" spans="1:6" ht="15.6" x14ac:dyDescent="0.3">
      <c r="A134" s="100"/>
      <c r="B134" s="39"/>
      <c r="C134" s="39"/>
      <c r="D134" s="100"/>
      <c r="E134" s="40"/>
      <c r="F134" s="40"/>
    </row>
    <row r="135" spans="1:6" ht="15.6" x14ac:dyDescent="0.3">
      <c r="A135" s="100"/>
      <c r="B135" s="39"/>
      <c r="C135" s="39"/>
      <c r="D135" s="100"/>
      <c r="E135" s="40"/>
      <c r="F135" s="40"/>
    </row>
    <row r="136" spans="1:6" ht="15.6" x14ac:dyDescent="0.3">
      <c r="A136" s="100"/>
      <c r="B136" s="39"/>
      <c r="C136" s="39"/>
      <c r="D136" s="100"/>
      <c r="E136" s="40"/>
      <c r="F136" s="40"/>
    </row>
    <row r="137" spans="1:6" ht="15.6" x14ac:dyDescent="0.3">
      <c r="A137" s="100"/>
      <c r="B137" s="39"/>
      <c r="C137" s="39"/>
      <c r="D137" s="100"/>
      <c r="E137" s="40"/>
      <c r="F137" s="40"/>
    </row>
    <row r="138" spans="1:6" ht="15.6" x14ac:dyDescent="0.3">
      <c r="A138" s="100"/>
      <c r="B138" s="39"/>
      <c r="C138" s="39"/>
      <c r="D138" s="100"/>
      <c r="E138" s="40"/>
      <c r="F138" s="40"/>
    </row>
    <row r="139" spans="1:6" ht="15.6" x14ac:dyDescent="0.3">
      <c r="A139" s="100"/>
      <c r="B139" s="39"/>
      <c r="C139" s="39"/>
      <c r="D139" s="100"/>
      <c r="E139" s="40"/>
      <c r="F139" s="40"/>
    </row>
    <row r="140" spans="1:6" ht="15.6" x14ac:dyDescent="0.3">
      <c r="A140" s="100"/>
      <c r="B140" s="39"/>
      <c r="C140" s="39"/>
      <c r="D140" s="100"/>
      <c r="E140" s="40"/>
      <c r="F140" s="40"/>
    </row>
    <row r="141" spans="1:6" ht="15.6" x14ac:dyDescent="0.3">
      <c r="A141" s="100"/>
      <c r="B141" s="39"/>
      <c r="C141" s="39"/>
      <c r="D141" s="100"/>
      <c r="E141" s="40"/>
      <c r="F141" s="40"/>
    </row>
    <row r="142" spans="1:6" ht="15.6" x14ac:dyDescent="0.3">
      <c r="A142" s="100"/>
      <c r="B142" s="39"/>
      <c r="C142" s="39"/>
      <c r="D142" s="100"/>
      <c r="E142" s="40"/>
      <c r="F142" s="40"/>
    </row>
  </sheetData>
  <protectedRanges>
    <protectedRange sqref="F4:F15 F17:F119 F123" name="Range1"/>
    <protectedRange sqref="F16" name="Range1_3"/>
    <protectedRange sqref="F120:F122" name="Range1_1"/>
  </protectedRanges>
  <mergeCells count="2">
    <mergeCell ref="A1:F1"/>
    <mergeCell ref="A2:F2"/>
  </mergeCells>
  <printOptions horizontalCentered="1"/>
  <pageMargins left="0.35433070866141736" right="0.23622047244094491" top="0.51181102362204722" bottom="0.47" header="0.31496062992125984" footer="0.31496062992125984"/>
  <pageSetup paperSize="9" scale="26" fitToHeight="4" orientation="portrait" r:id="rId1"/>
  <rowBreaks count="2" manualBreakCount="2">
    <brk id="56" max="17" man="1"/>
    <brk id="93" max="17" man="1"/>
  </rowBreak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
    <pageSetUpPr fitToPage="1"/>
  </sheetPr>
  <dimension ref="A1:HU29"/>
  <sheetViews>
    <sheetView view="pageBreakPreview" zoomScale="85" zoomScaleNormal="100" zoomScaleSheetLayoutView="85" workbookViewId="0">
      <pane ySplit="3" topLeftCell="A20" activePane="bottomLeft" state="frozen"/>
      <selection activeCell="I7" sqref="I7"/>
      <selection pane="bottomLeft" activeCell="J20" activeCellId="1" sqref="E21 J20"/>
    </sheetView>
  </sheetViews>
  <sheetFormatPr defaultColWidth="9.21875" defaultRowHeight="14.4" x14ac:dyDescent="0.3"/>
  <cols>
    <col min="1" max="1" width="9" style="87" bestFit="1" customWidth="1"/>
    <col min="2" max="2" width="56" style="88" customWidth="1"/>
    <col min="3" max="4" width="6.44140625" style="89" customWidth="1"/>
    <col min="5" max="5" width="13" style="90" bestFit="1" customWidth="1"/>
    <col min="6" max="6" width="14.77734375" style="90" bestFit="1" customWidth="1"/>
    <col min="7" max="7" width="11.5546875" style="83" bestFit="1" customWidth="1"/>
    <col min="8" max="17" width="9.21875" style="83"/>
    <col min="18" max="18" width="7.44140625" style="83" bestFit="1" customWidth="1"/>
    <col min="19" max="188" width="9.21875" style="83"/>
    <col min="189" max="189" width="9" style="83" bestFit="1" customWidth="1"/>
    <col min="190" max="190" width="56" style="83" customWidth="1"/>
    <col min="191" max="191" width="6.44140625" style="83" customWidth="1"/>
    <col min="192" max="192" width="12.21875" style="83" bestFit="1" customWidth="1"/>
    <col min="193" max="193" width="13" style="83" bestFit="1" customWidth="1"/>
    <col min="194" max="194" width="14.77734375" style="83" bestFit="1" customWidth="1"/>
    <col min="195" max="195" width="16.21875" style="83" customWidth="1"/>
    <col min="196" max="196" width="13.77734375" style="83" customWidth="1"/>
    <col min="197" max="197" width="11.77734375" style="83" customWidth="1"/>
    <col min="198" max="198" width="13.5546875" style="83" customWidth="1"/>
    <col min="199" max="199" width="10.5546875" style="83" customWidth="1"/>
    <col min="200" max="200" width="11.77734375" style="83" bestFit="1" customWidth="1"/>
    <col min="201" max="201" width="14.77734375" style="83" bestFit="1" customWidth="1"/>
    <col min="202" max="202" width="12.5546875" style="83" customWidth="1"/>
    <col min="203" max="203" width="12.77734375" style="83" bestFit="1" customWidth="1"/>
    <col min="204" max="204" width="12.21875" style="83" customWidth="1"/>
    <col min="205" max="205" width="28" style="83" customWidth="1"/>
    <col min="206" max="206" width="10.44140625" style="83" customWidth="1"/>
    <col min="207" max="231" width="9.21875" style="83"/>
    <col min="232" max="232" width="9" style="83" bestFit="1" customWidth="1"/>
    <col min="233" max="233" width="56" style="83" customWidth="1"/>
    <col min="234" max="234" width="6.44140625" style="83" customWidth="1"/>
    <col min="235" max="235" width="10.77734375" style="83" customWidth="1"/>
    <col min="236" max="236" width="13" style="83" bestFit="1" customWidth="1"/>
    <col min="237" max="237" width="14.77734375" style="83" bestFit="1" customWidth="1"/>
    <col min="238" max="238" width="4.44140625" style="83" customWidth="1"/>
    <col min="239" max="239" width="8.77734375" style="83" customWidth="1"/>
    <col min="240" max="240" width="8.77734375" style="83" bestFit="1" customWidth="1"/>
    <col min="241" max="241" width="11.5546875" style="83" customWidth="1"/>
    <col min="242" max="242" width="11.44140625" style="83" customWidth="1"/>
    <col min="243" max="243" width="7" style="83" bestFit="1" customWidth="1"/>
    <col min="244" max="244" width="8.77734375" style="83" bestFit="1" customWidth="1"/>
    <col min="245" max="245" width="15.21875" style="83" customWidth="1"/>
    <col min="246" max="247" width="12.5546875" style="83" bestFit="1" customWidth="1"/>
    <col min="248" max="248" width="11.5546875" style="83" bestFit="1" customWidth="1"/>
    <col min="249" max="249" width="10.5546875" style="83" bestFit="1" customWidth="1"/>
    <col min="250" max="250" width="14.21875" style="83" bestFit="1" customWidth="1"/>
    <col min="251" max="251" width="9.21875" style="83"/>
    <col min="252" max="252" width="11.77734375" style="83" bestFit="1" customWidth="1"/>
    <col min="253" max="444" width="9.21875" style="83"/>
    <col min="445" max="445" width="9" style="83" bestFit="1" customWidth="1"/>
    <col min="446" max="446" width="56" style="83" customWidth="1"/>
    <col min="447" max="447" width="6.44140625" style="83" customWidth="1"/>
    <col min="448" max="448" width="12.21875" style="83" bestFit="1" customWidth="1"/>
    <col min="449" max="449" width="13" style="83" bestFit="1" customWidth="1"/>
    <col min="450" max="450" width="14.77734375" style="83" bestFit="1" customWidth="1"/>
    <col min="451" max="451" width="16.21875" style="83" customWidth="1"/>
    <col min="452" max="452" width="13.77734375" style="83" customWidth="1"/>
    <col min="453" max="453" width="11.77734375" style="83" customWidth="1"/>
    <col min="454" max="454" width="13.5546875" style="83" customWidth="1"/>
    <col min="455" max="455" width="10.5546875" style="83" customWidth="1"/>
    <col min="456" max="456" width="11.77734375" style="83" bestFit="1" customWidth="1"/>
    <col min="457" max="457" width="14.77734375" style="83" bestFit="1" customWidth="1"/>
    <col min="458" max="458" width="12.5546875" style="83" customWidth="1"/>
    <col min="459" max="459" width="12.77734375" style="83" bestFit="1" customWidth="1"/>
    <col min="460" max="460" width="12.21875" style="83" customWidth="1"/>
    <col min="461" max="461" width="28" style="83" customWidth="1"/>
    <col min="462" max="462" width="10.44140625" style="83" customWidth="1"/>
    <col min="463" max="487" width="9.21875" style="83"/>
    <col min="488" max="488" width="9" style="83" bestFit="1" customWidth="1"/>
    <col min="489" max="489" width="56" style="83" customWidth="1"/>
    <col min="490" max="490" width="6.44140625" style="83" customWidth="1"/>
    <col min="491" max="491" width="10.77734375" style="83" customWidth="1"/>
    <col min="492" max="492" width="13" style="83" bestFit="1" customWidth="1"/>
    <col min="493" max="493" width="14.77734375" style="83" bestFit="1" customWidth="1"/>
    <col min="494" max="494" width="4.44140625" style="83" customWidth="1"/>
    <col min="495" max="495" width="8.77734375" style="83" customWidth="1"/>
    <col min="496" max="496" width="8.77734375" style="83" bestFit="1" customWidth="1"/>
    <col min="497" max="497" width="11.5546875" style="83" customWidth="1"/>
    <col min="498" max="498" width="11.44140625" style="83" customWidth="1"/>
    <col min="499" max="499" width="7" style="83" bestFit="1" customWidth="1"/>
    <col min="500" max="500" width="8.77734375" style="83" bestFit="1" customWidth="1"/>
    <col min="501" max="501" width="15.21875" style="83" customWidth="1"/>
    <col min="502" max="503" width="12.5546875" style="83" bestFit="1" customWidth="1"/>
    <col min="504" max="504" width="11.5546875" style="83" bestFit="1" customWidth="1"/>
    <col min="505" max="505" width="10.5546875" style="83" bestFit="1" customWidth="1"/>
    <col min="506" max="506" width="14.21875" style="83" bestFit="1" customWidth="1"/>
    <col min="507" max="507" width="9.21875" style="83"/>
    <col min="508" max="508" width="11.77734375" style="83" bestFit="1" customWidth="1"/>
    <col min="509" max="700" width="9.21875" style="83"/>
    <col min="701" max="701" width="9" style="83" bestFit="1" customWidth="1"/>
    <col min="702" max="702" width="56" style="83" customWidth="1"/>
    <col min="703" max="703" width="6.44140625" style="83" customWidth="1"/>
    <col min="704" max="704" width="12.21875" style="83" bestFit="1" customWidth="1"/>
    <col min="705" max="705" width="13" style="83" bestFit="1" customWidth="1"/>
    <col min="706" max="706" width="14.77734375" style="83" bestFit="1" customWidth="1"/>
    <col min="707" max="707" width="16.21875" style="83" customWidth="1"/>
    <col min="708" max="708" width="13.77734375" style="83" customWidth="1"/>
    <col min="709" max="709" width="11.77734375" style="83" customWidth="1"/>
    <col min="710" max="710" width="13.5546875" style="83" customWidth="1"/>
    <col min="711" max="711" width="10.5546875" style="83" customWidth="1"/>
    <col min="712" max="712" width="11.77734375" style="83" bestFit="1" customWidth="1"/>
    <col min="713" max="713" width="14.77734375" style="83" bestFit="1" customWidth="1"/>
    <col min="714" max="714" width="12.5546875" style="83" customWidth="1"/>
    <col min="715" max="715" width="12.77734375" style="83" bestFit="1" customWidth="1"/>
    <col min="716" max="716" width="12.21875" style="83" customWidth="1"/>
    <col min="717" max="717" width="28" style="83" customWidth="1"/>
    <col min="718" max="718" width="10.44140625" style="83" customWidth="1"/>
    <col min="719" max="743" width="9.21875" style="83"/>
    <col min="744" max="744" width="9" style="83" bestFit="1" customWidth="1"/>
    <col min="745" max="745" width="56" style="83" customWidth="1"/>
    <col min="746" max="746" width="6.44140625" style="83" customWidth="1"/>
    <col min="747" max="747" width="10.77734375" style="83" customWidth="1"/>
    <col min="748" max="748" width="13" style="83" bestFit="1" customWidth="1"/>
    <col min="749" max="749" width="14.77734375" style="83" bestFit="1" customWidth="1"/>
    <col min="750" max="750" width="4.44140625" style="83" customWidth="1"/>
    <col min="751" max="751" width="8.77734375" style="83" customWidth="1"/>
    <col min="752" max="752" width="8.77734375" style="83" bestFit="1" customWidth="1"/>
    <col min="753" max="753" width="11.5546875" style="83" customWidth="1"/>
    <col min="754" max="754" width="11.44140625" style="83" customWidth="1"/>
    <col min="755" max="755" width="7" style="83" bestFit="1" customWidth="1"/>
    <col min="756" max="756" width="8.77734375" style="83" bestFit="1" customWidth="1"/>
    <col min="757" max="757" width="15.21875" style="83" customWidth="1"/>
    <col min="758" max="759" width="12.5546875" style="83" bestFit="1" customWidth="1"/>
    <col min="760" max="760" width="11.5546875" style="83" bestFit="1" customWidth="1"/>
    <col min="761" max="761" width="10.5546875" style="83" bestFit="1" customWidth="1"/>
    <col min="762" max="762" width="14.21875" style="83" bestFit="1" customWidth="1"/>
    <col min="763" max="763" width="9.21875" style="83"/>
    <col min="764" max="764" width="11.77734375" style="83" bestFit="1" customWidth="1"/>
    <col min="765" max="956" width="9.21875" style="83"/>
    <col min="957" max="957" width="9" style="83" bestFit="1" customWidth="1"/>
    <col min="958" max="958" width="56" style="83" customWidth="1"/>
    <col min="959" max="959" width="6.44140625" style="83" customWidth="1"/>
    <col min="960" max="960" width="12.21875" style="83" bestFit="1" customWidth="1"/>
    <col min="961" max="961" width="13" style="83" bestFit="1" customWidth="1"/>
    <col min="962" max="962" width="14.77734375" style="83" bestFit="1" customWidth="1"/>
    <col min="963" max="963" width="16.21875" style="83" customWidth="1"/>
    <col min="964" max="964" width="13.77734375" style="83" customWidth="1"/>
    <col min="965" max="965" width="11.77734375" style="83" customWidth="1"/>
    <col min="966" max="966" width="13.5546875" style="83" customWidth="1"/>
    <col min="967" max="967" width="10.5546875" style="83" customWidth="1"/>
    <col min="968" max="968" width="11.77734375" style="83" bestFit="1" customWidth="1"/>
    <col min="969" max="969" width="14.77734375" style="83" bestFit="1" customWidth="1"/>
    <col min="970" max="970" width="12.5546875" style="83" customWidth="1"/>
    <col min="971" max="971" width="12.77734375" style="83" bestFit="1" customWidth="1"/>
    <col min="972" max="972" width="12.21875" style="83" customWidth="1"/>
    <col min="973" max="973" width="28" style="83" customWidth="1"/>
    <col min="974" max="974" width="10.44140625" style="83" customWidth="1"/>
    <col min="975" max="999" width="9.21875" style="83"/>
    <col min="1000" max="1000" width="9" style="83" bestFit="1" customWidth="1"/>
    <col min="1001" max="1001" width="56" style="83" customWidth="1"/>
    <col min="1002" max="1002" width="6.44140625" style="83" customWidth="1"/>
    <col min="1003" max="1003" width="10.77734375" style="83" customWidth="1"/>
    <col min="1004" max="1004" width="13" style="83" bestFit="1" customWidth="1"/>
    <col min="1005" max="1005" width="14.77734375" style="83" bestFit="1" customWidth="1"/>
    <col min="1006" max="1006" width="4.44140625" style="83" customWidth="1"/>
    <col min="1007" max="1007" width="8.77734375" style="83" customWidth="1"/>
    <col min="1008" max="1008" width="8.77734375" style="83" bestFit="1" customWidth="1"/>
    <col min="1009" max="1009" width="11.5546875" style="83" customWidth="1"/>
    <col min="1010" max="1010" width="11.44140625" style="83" customWidth="1"/>
    <col min="1011" max="1011" width="7" style="83" bestFit="1" customWidth="1"/>
    <col min="1012" max="1012" width="8.77734375" style="83" bestFit="1" customWidth="1"/>
    <col min="1013" max="1013" width="15.21875" style="83" customWidth="1"/>
    <col min="1014" max="1015" width="12.5546875" style="83" bestFit="1" customWidth="1"/>
    <col min="1016" max="1016" width="11.5546875" style="83" bestFit="1" customWidth="1"/>
    <col min="1017" max="1017" width="10.5546875" style="83" bestFit="1" customWidth="1"/>
    <col min="1018" max="1018" width="14.21875" style="83" bestFit="1" customWidth="1"/>
    <col min="1019" max="1019" width="9.21875" style="83"/>
    <col min="1020" max="1020" width="11.77734375" style="83" bestFit="1" customWidth="1"/>
    <col min="1021" max="1212" width="9.21875" style="83"/>
    <col min="1213" max="1213" width="9" style="83" bestFit="1" customWidth="1"/>
    <col min="1214" max="1214" width="56" style="83" customWidth="1"/>
    <col min="1215" max="1215" width="6.44140625" style="83" customWidth="1"/>
    <col min="1216" max="1216" width="12.21875" style="83" bestFit="1" customWidth="1"/>
    <col min="1217" max="1217" width="13" style="83" bestFit="1" customWidth="1"/>
    <col min="1218" max="1218" width="14.77734375" style="83" bestFit="1" customWidth="1"/>
    <col min="1219" max="1219" width="16.21875" style="83" customWidth="1"/>
    <col min="1220" max="1220" width="13.77734375" style="83" customWidth="1"/>
    <col min="1221" max="1221" width="11.77734375" style="83" customWidth="1"/>
    <col min="1222" max="1222" width="13.5546875" style="83" customWidth="1"/>
    <col min="1223" max="1223" width="10.5546875" style="83" customWidth="1"/>
    <col min="1224" max="1224" width="11.77734375" style="83" bestFit="1" customWidth="1"/>
    <col min="1225" max="1225" width="14.77734375" style="83" bestFit="1" customWidth="1"/>
    <col min="1226" max="1226" width="12.5546875" style="83" customWidth="1"/>
    <col min="1227" max="1227" width="12.77734375" style="83" bestFit="1" customWidth="1"/>
    <col min="1228" max="1228" width="12.21875" style="83" customWidth="1"/>
    <col min="1229" max="1229" width="28" style="83" customWidth="1"/>
    <col min="1230" max="1230" width="10.44140625" style="83" customWidth="1"/>
    <col min="1231" max="1255" width="9.21875" style="83"/>
    <col min="1256" max="1256" width="9" style="83" bestFit="1" customWidth="1"/>
    <col min="1257" max="1257" width="56" style="83" customWidth="1"/>
    <col min="1258" max="1258" width="6.44140625" style="83" customWidth="1"/>
    <col min="1259" max="1259" width="10.77734375" style="83" customWidth="1"/>
    <col min="1260" max="1260" width="13" style="83" bestFit="1" customWidth="1"/>
    <col min="1261" max="1261" width="14.77734375" style="83" bestFit="1" customWidth="1"/>
    <col min="1262" max="1262" width="4.44140625" style="83" customWidth="1"/>
    <col min="1263" max="1263" width="8.77734375" style="83" customWidth="1"/>
    <col min="1264" max="1264" width="8.77734375" style="83" bestFit="1" customWidth="1"/>
    <col min="1265" max="1265" width="11.5546875" style="83" customWidth="1"/>
    <col min="1266" max="1266" width="11.44140625" style="83" customWidth="1"/>
    <col min="1267" max="1267" width="7" style="83" bestFit="1" customWidth="1"/>
    <col min="1268" max="1268" width="8.77734375" style="83" bestFit="1" customWidth="1"/>
    <col min="1269" max="1269" width="15.21875" style="83" customWidth="1"/>
    <col min="1270" max="1271" width="12.5546875" style="83" bestFit="1" customWidth="1"/>
    <col min="1272" max="1272" width="11.5546875" style="83" bestFit="1" customWidth="1"/>
    <col min="1273" max="1273" width="10.5546875" style="83" bestFit="1" customWidth="1"/>
    <col min="1274" max="1274" width="14.21875" style="83" bestFit="1" customWidth="1"/>
    <col min="1275" max="1275" width="9.21875" style="83"/>
    <col min="1276" max="1276" width="11.77734375" style="83" bestFit="1" customWidth="1"/>
    <col min="1277" max="1468" width="9.21875" style="83"/>
    <col min="1469" max="1469" width="9" style="83" bestFit="1" customWidth="1"/>
    <col min="1470" max="1470" width="56" style="83" customWidth="1"/>
    <col min="1471" max="1471" width="6.44140625" style="83" customWidth="1"/>
    <col min="1472" max="1472" width="12.21875" style="83" bestFit="1" customWidth="1"/>
    <col min="1473" max="1473" width="13" style="83" bestFit="1" customWidth="1"/>
    <col min="1474" max="1474" width="14.77734375" style="83" bestFit="1" customWidth="1"/>
    <col min="1475" max="1475" width="16.21875" style="83" customWidth="1"/>
    <col min="1476" max="1476" width="13.77734375" style="83" customWidth="1"/>
    <col min="1477" max="1477" width="11.77734375" style="83" customWidth="1"/>
    <col min="1478" max="1478" width="13.5546875" style="83" customWidth="1"/>
    <col min="1479" max="1479" width="10.5546875" style="83" customWidth="1"/>
    <col min="1480" max="1480" width="11.77734375" style="83" bestFit="1" customWidth="1"/>
    <col min="1481" max="1481" width="14.77734375" style="83" bestFit="1" customWidth="1"/>
    <col min="1482" max="1482" width="12.5546875" style="83" customWidth="1"/>
    <col min="1483" max="1483" width="12.77734375" style="83" bestFit="1" customWidth="1"/>
    <col min="1484" max="1484" width="12.21875" style="83" customWidth="1"/>
    <col min="1485" max="1485" width="28" style="83" customWidth="1"/>
    <col min="1486" max="1486" width="10.44140625" style="83" customWidth="1"/>
    <col min="1487" max="1511" width="9.21875" style="83"/>
    <col min="1512" max="1512" width="9" style="83" bestFit="1" customWidth="1"/>
    <col min="1513" max="1513" width="56" style="83" customWidth="1"/>
    <col min="1514" max="1514" width="6.44140625" style="83" customWidth="1"/>
    <col min="1515" max="1515" width="10.77734375" style="83" customWidth="1"/>
    <col min="1516" max="1516" width="13" style="83" bestFit="1" customWidth="1"/>
    <col min="1517" max="1517" width="14.77734375" style="83" bestFit="1" customWidth="1"/>
    <col min="1518" max="1518" width="4.44140625" style="83" customWidth="1"/>
    <col min="1519" max="1519" width="8.77734375" style="83" customWidth="1"/>
    <col min="1520" max="1520" width="8.77734375" style="83" bestFit="1" customWidth="1"/>
    <col min="1521" max="1521" width="11.5546875" style="83" customWidth="1"/>
    <col min="1522" max="1522" width="11.44140625" style="83" customWidth="1"/>
    <col min="1523" max="1523" width="7" style="83" bestFit="1" customWidth="1"/>
    <col min="1524" max="1524" width="8.77734375" style="83" bestFit="1" customWidth="1"/>
    <col min="1525" max="1525" width="15.21875" style="83" customWidth="1"/>
    <col min="1526" max="1527" width="12.5546875" style="83" bestFit="1" customWidth="1"/>
    <col min="1528" max="1528" width="11.5546875" style="83" bestFit="1" customWidth="1"/>
    <col min="1529" max="1529" width="10.5546875" style="83" bestFit="1" customWidth="1"/>
    <col min="1530" max="1530" width="14.21875" style="83" bestFit="1" customWidth="1"/>
    <col min="1531" max="1531" width="9.21875" style="83"/>
    <col min="1532" max="1532" width="11.77734375" style="83" bestFit="1" customWidth="1"/>
    <col min="1533" max="1724" width="9.21875" style="83"/>
    <col min="1725" max="1725" width="9" style="83" bestFit="1" customWidth="1"/>
    <col min="1726" max="1726" width="56" style="83" customWidth="1"/>
    <col min="1727" max="1727" width="6.44140625" style="83" customWidth="1"/>
    <col min="1728" max="1728" width="12.21875" style="83" bestFit="1" customWidth="1"/>
    <col min="1729" max="1729" width="13" style="83" bestFit="1" customWidth="1"/>
    <col min="1730" max="1730" width="14.77734375" style="83" bestFit="1" customWidth="1"/>
    <col min="1731" max="1731" width="16.21875" style="83" customWidth="1"/>
    <col min="1732" max="1732" width="13.77734375" style="83" customWidth="1"/>
    <col min="1733" max="1733" width="11.77734375" style="83" customWidth="1"/>
    <col min="1734" max="1734" width="13.5546875" style="83" customWidth="1"/>
    <col min="1735" max="1735" width="10.5546875" style="83" customWidth="1"/>
    <col min="1736" max="1736" width="11.77734375" style="83" bestFit="1" customWidth="1"/>
    <col min="1737" max="1737" width="14.77734375" style="83" bestFit="1" customWidth="1"/>
    <col min="1738" max="1738" width="12.5546875" style="83" customWidth="1"/>
    <col min="1739" max="1739" width="12.77734375" style="83" bestFit="1" customWidth="1"/>
    <col min="1740" max="1740" width="12.21875" style="83" customWidth="1"/>
    <col min="1741" max="1741" width="28" style="83" customWidth="1"/>
    <col min="1742" max="1742" width="10.44140625" style="83" customWidth="1"/>
    <col min="1743" max="1767" width="9.21875" style="83"/>
    <col min="1768" max="1768" width="9" style="83" bestFit="1" customWidth="1"/>
    <col min="1769" max="1769" width="56" style="83" customWidth="1"/>
    <col min="1770" max="1770" width="6.44140625" style="83" customWidth="1"/>
    <col min="1771" max="1771" width="10.77734375" style="83" customWidth="1"/>
    <col min="1772" max="1772" width="13" style="83" bestFit="1" customWidth="1"/>
    <col min="1773" max="1773" width="14.77734375" style="83" bestFit="1" customWidth="1"/>
    <col min="1774" max="1774" width="4.44140625" style="83" customWidth="1"/>
    <col min="1775" max="1775" width="8.77734375" style="83" customWidth="1"/>
    <col min="1776" max="1776" width="8.77734375" style="83" bestFit="1" customWidth="1"/>
    <col min="1777" max="1777" width="11.5546875" style="83" customWidth="1"/>
    <col min="1778" max="1778" width="11.44140625" style="83" customWidth="1"/>
    <col min="1779" max="1779" width="7" style="83" bestFit="1" customWidth="1"/>
    <col min="1780" max="1780" width="8.77734375" style="83" bestFit="1" customWidth="1"/>
    <col min="1781" max="1781" width="15.21875" style="83" customWidth="1"/>
    <col min="1782" max="1783" width="12.5546875" style="83" bestFit="1" customWidth="1"/>
    <col min="1784" max="1784" width="11.5546875" style="83" bestFit="1" customWidth="1"/>
    <col min="1785" max="1785" width="10.5546875" style="83" bestFit="1" customWidth="1"/>
    <col min="1786" max="1786" width="14.21875" style="83" bestFit="1" customWidth="1"/>
    <col min="1787" max="1787" width="9.21875" style="83"/>
    <col min="1788" max="1788" width="11.77734375" style="83" bestFit="1" customWidth="1"/>
    <col min="1789" max="1980" width="9.21875" style="83"/>
    <col min="1981" max="1981" width="9" style="83" bestFit="1" customWidth="1"/>
    <col min="1982" max="1982" width="56" style="83" customWidth="1"/>
    <col min="1983" max="1983" width="6.44140625" style="83" customWidth="1"/>
    <col min="1984" max="1984" width="12.21875" style="83" bestFit="1" customWidth="1"/>
    <col min="1985" max="1985" width="13" style="83" bestFit="1" customWidth="1"/>
    <col min="1986" max="1986" width="14.77734375" style="83" bestFit="1" customWidth="1"/>
    <col min="1987" max="1987" width="16.21875" style="83" customWidth="1"/>
    <col min="1988" max="1988" width="13.77734375" style="83" customWidth="1"/>
    <col min="1989" max="1989" width="11.77734375" style="83" customWidth="1"/>
    <col min="1990" max="1990" width="13.5546875" style="83" customWidth="1"/>
    <col min="1991" max="1991" width="10.5546875" style="83" customWidth="1"/>
    <col min="1992" max="1992" width="11.77734375" style="83" bestFit="1" customWidth="1"/>
    <col min="1993" max="1993" width="14.77734375" style="83" bestFit="1" customWidth="1"/>
    <col min="1994" max="1994" width="12.5546875" style="83" customWidth="1"/>
    <col min="1995" max="1995" width="12.77734375" style="83" bestFit="1" customWidth="1"/>
    <col min="1996" max="1996" width="12.21875" style="83" customWidth="1"/>
    <col min="1997" max="1997" width="28" style="83" customWidth="1"/>
    <col min="1998" max="1998" width="10.44140625" style="83" customWidth="1"/>
    <col min="1999" max="2023" width="9.21875" style="83"/>
    <col min="2024" max="2024" width="9" style="83" bestFit="1" customWidth="1"/>
    <col min="2025" max="2025" width="56" style="83" customWidth="1"/>
    <col min="2026" max="2026" width="6.44140625" style="83" customWidth="1"/>
    <col min="2027" max="2027" width="10.77734375" style="83" customWidth="1"/>
    <col min="2028" max="2028" width="13" style="83" bestFit="1" customWidth="1"/>
    <col min="2029" max="2029" width="14.77734375" style="83" bestFit="1" customWidth="1"/>
    <col min="2030" max="2030" width="4.44140625" style="83" customWidth="1"/>
    <col min="2031" max="2031" width="8.77734375" style="83" customWidth="1"/>
    <col min="2032" max="2032" width="8.77734375" style="83" bestFit="1" customWidth="1"/>
    <col min="2033" max="2033" width="11.5546875" style="83" customWidth="1"/>
    <col min="2034" max="2034" width="11.44140625" style="83" customWidth="1"/>
    <col min="2035" max="2035" width="7" style="83" bestFit="1" customWidth="1"/>
    <col min="2036" max="2036" width="8.77734375" style="83" bestFit="1" customWidth="1"/>
    <col min="2037" max="2037" width="15.21875" style="83" customWidth="1"/>
    <col min="2038" max="2039" width="12.5546875" style="83" bestFit="1" customWidth="1"/>
    <col min="2040" max="2040" width="11.5546875" style="83" bestFit="1" customWidth="1"/>
    <col min="2041" max="2041" width="10.5546875" style="83" bestFit="1" customWidth="1"/>
    <col min="2042" max="2042" width="14.21875" style="83" bestFit="1" customWidth="1"/>
    <col min="2043" max="2043" width="9.21875" style="83"/>
    <col min="2044" max="2044" width="11.77734375" style="83" bestFit="1" customWidth="1"/>
    <col min="2045" max="2236" width="9.21875" style="83"/>
    <col min="2237" max="2237" width="9" style="83" bestFit="1" customWidth="1"/>
    <col min="2238" max="2238" width="56" style="83" customWidth="1"/>
    <col min="2239" max="2239" width="6.44140625" style="83" customWidth="1"/>
    <col min="2240" max="2240" width="12.21875" style="83" bestFit="1" customWidth="1"/>
    <col min="2241" max="2241" width="13" style="83" bestFit="1" customWidth="1"/>
    <col min="2242" max="2242" width="14.77734375" style="83" bestFit="1" customWidth="1"/>
    <col min="2243" max="2243" width="16.21875" style="83" customWidth="1"/>
    <col min="2244" max="2244" width="13.77734375" style="83" customWidth="1"/>
    <col min="2245" max="2245" width="11.77734375" style="83" customWidth="1"/>
    <col min="2246" max="2246" width="13.5546875" style="83" customWidth="1"/>
    <col min="2247" max="2247" width="10.5546875" style="83" customWidth="1"/>
    <col min="2248" max="2248" width="11.77734375" style="83" bestFit="1" customWidth="1"/>
    <col min="2249" max="2249" width="14.77734375" style="83" bestFit="1" customWidth="1"/>
    <col min="2250" max="2250" width="12.5546875" style="83" customWidth="1"/>
    <col min="2251" max="2251" width="12.77734375" style="83" bestFit="1" customWidth="1"/>
    <col min="2252" max="2252" width="12.21875" style="83" customWidth="1"/>
    <col min="2253" max="2253" width="28" style="83" customWidth="1"/>
    <col min="2254" max="2254" width="10.44140625" style="83" customWidth="1"/>
    <col min="2255" max="2279" width="9.21875" style="83"/>
    <col min="2280" max="2280" width="9" style="83" bestFit="1" customWidth="1"/>
    <col min="2281" max="2281" width="56" style="83" customWidth="1"/>
    <col min="2282" max="2282" width="6.44140625" style="83" customWidth="1"/>
    <col min="2283" max="2283" width="10.77734375" style="83" customWidth="1"/>
    <col min="2284" max="2284" width="13" style="83" bestFit="1" customWidth="1"/>
    <col min="2285" max="2285" width="14.77734375" style="83" bestFit="1" customWidth="1"/>
    <col min="2286" max="2286" width="4.44140625" style="83" customWidth="1"/>
    <col min="2287" max="2287" width="8.77734375" style="83" customWidth="1"/>
    <col min="2288" max="2288" width="8.77734375" style="83" bestFit="1" customWidth="1"/>
    <col min="2289" max="2289" width="11.5546875" style="83" customWidth="1"/>
    <col min="2290" max="2290" width="11.44140625" style="83" customWidth="1"/>
    <col min="2291" max="2291" width="7" style="83" bestFit="1" customWidth="1"/>
    <col min="2292" max="2292" width="8.77734375" style="83" bestFit="1" customWidth="1"/>
    <col min="2293" max="2293" width="15.21875" style="83" customWidth="1"/>
    <col min="2294" max="2295" width="12.5546875" style="83" bestFit="1" customWidth="1"/>
    <col min="2296" max="2296" width="11.5546875" style="83" bestFit="1" customWidth="1"/>
    <col min="2297" max="2297" width="10.5546875" style="83" bestFit="1" customWidth="1"/>
    <col min="2298" max="2298" width="14.21875" style="83" bestFit="1" customWidth="1"/>
    <col min="2299" max="2299" width="9.21875" style="83"/>
    <col min="2300" max="2300" width="11.77734375" style="83" bestFit="1" customWidth="1"/>
    <col min="2301" max="2492" width="9.21875" style="83"/>
    <col min="2493" max="2493" width="9" style="83" bestFit="1" customWidth="1"/>
    <col min="2494" max="2494" width="56" style="83" customWidth="1"/>
    <col min="2495" max="2495" width="6.44140625" style="83" customWidth="1"/>
    <col min="2496" max="2496" width="12.21875" style="83" bestFit="1" customWidth="1"/>
    <col min="2497" max="2497" width="13" style="83" bestFit="1" customWidth="1"/>
    <col min="2498" max="2498" width="14.77734375" style="83" bestFit="1" customWidth="1"/>
    <col min="2499" max="2499" width="16.21875" style="83" customWidth="1"/>
    <col min="2500" max="2500" width="13.77734375" style="83" customWidth="1"/>
    <col min="2501" max="2501" width="11.77734375" style="83" customWidth="1"/>
    <col min="2502" max="2502" width="13.5546875" style="83" customWidth="1"/>
    <col min="2503" max="2503" width="10.5546875" style="83" customWidth="1"/>
    <col min="2504" max="2504" width="11.77734375" style="83" bestFit="1" customWidth="1"/>
    <col min="2505" max="2505" width="14.77734375" style="83" bestFit="1" customWidth="1"/>
    <col min="2506" max="2506" width="12.5546875" style="83" customWidth="1"/>
    <col min="2507" max="2507" width="12.77734375" style="83" bestFit="1" customWidth="1"/>
    <col min="2508" max="2508" width="12.21875" style="83" customWidth="1"/>
    <col min="2509" max="2509" width="28" style="83" customWidth="1"/>
    <col min="2510" max="2510" width="10.44140625" style="83" customWidth="1"/>
    <col min="2511" max="2535" width="9.21875" style="83"/>
    <col min="2536" max="2536" width="9" style="83" bestFit="1" customWidth="1"/>
    <col min="2537" max="2537" width="56" style="83" customWidth="1"/>
    <col min="2538" max="2538" width="6.44140625" style="83" customWidth="1"/>
    <col min="2539" max="2539" width="10.77734375" style="83" customWidth="1"/>
    <col min="2540" max="2540" width="13" style="83" bestFit="1" customWidth="1"/>
    <col min="2541" max="2541" width="14.77734375" style="83" bestFit="1" customWidth="1"/>
    <col min="2542" max="2542" width="4.44140625" style="83" customWidth="1"/>
    <col min="2543" max="2543" width="8.77734375" style="83" customWidth="1"/>
    <col min="2544" max="2544" width="8.77734375" style="83" bestFit="1" customWidth="1"/>
    <col min="2545" max="2545" width="11.5546875" style="83" customWidth="1"/>
    <col min="2546" max="2546" width="11.44140625" style="83" customWidth="1"/>
    <col min="2547" max="2547" width="7" style="83" bestFit="1" customWidth="1"/>
    <col min="2548" max="2548" width="8.77734375" style="83" bestFit="1" customWidth="1"/>
    <col min="2549" max="2549" width="15.21875" style="83" customWidth="1"/>
    <col min="2550" max="2551" width="12.5546875" style="83" bestFit="1" customWidth="1"/>
    <col min="2552" max="2552" width="11.5546875" style="83" bestFit="1" customWidth="1"/>
    <col min="2553" max="2553" width="10.5546875" style="83" bestFit="1" customWidth="1"/>
    <col min="2554" max="2554" width="14.21875" style="83" bestFit="1" customWidth="1"/>
    <col min="2555" max="2555" width="9.21875" style="83"/>
    <col min="2556" max="2556" width="11.77734375" style="83" bestFit="1" customWidth="1"/>
    <col min="2557" max="2748" width="9.21875" style="83"/>
    <col min="2749" max="2749" width="9" style="83" bestFit="1" customWidth="1"/>
    <col min="2750" max="2750" width="56" style="83" customWidth="1"/>
    <col min="2751" max="2751" width="6.44140625" style="83" customWidth="1"/>
    <col min="2752" max="2752" width="12.21875" style="83" bestFit="1" customWidth="1"/>
    <col min="2753" max="2753" width="13" style="83" bestFit="1" customWidth="1"/>
    <col min="2754" max="2754" width="14.77734375" style="83" bestFit="1" customWidth="1"/>
    <col min="2755" max="2755" width="16.21875" style="83" customWidth="1"/>
    <col min="2756" max="2756" width="13.77734375" style="83" customWidth="1"/>
    <col min="2757" max="2757" width="11.77734375" style="83" customWidth="1"/>
    <col min="2758" max="2758" width="13.5546875" style="83" customWidth="1"/>
    <col min="2759" max="2759" width="10.5546875" style="83" customWidth="1"/>
    <col min="2760" max="2760" width="11.77734375" style="83" bestFit="1" customWidth="1"/>
    <col min="2761" max="2761" width="14.77734375" style="83" bestFit="1" customWidth="1"/>
    <col min="2762" max="2762" width="12.5546875" style="83" customWidth="1"/>
    <col min="2763" max="2763" width="12.77734375" style="83" bestFit="1" customWidth="1"/>
    <col min="2764" max="2764" width="12.21875" style="83" customWidth="1"/>
    <col min="2765" max="2765" width="28" style="83" customWidth="1"/>
    <col min="2766" max="2766" width="10.44140625" style="83" customWidth="1"/>
    <col min="2767" max="2791" width="9.21875" style="83"/>
    <col min="2792" max="2792" width="9" style="83" bestFit="1" customWidth="1"/>
    <col min="2793" max="2793" width="56" style="83" customWidth="1"/>
    <col min="2794" max="2794" width="6.44140625" style="83" customWidth="1"/>
    <col min="2795" max="2795" width="10.77734375" style="83" customWidth="1"/>
    <col min="2796" max="2796" width="13" style="83" bestFit="1" customWidth="1"/>
    <col min="2797" max="2797" width="14.77734375" style="83" bestFit="1" customWidth="1"/>
    <col min="2798" max="2798" width="4.44140625" style="83" customWidth="1"/>
    <col min="2799" max="2799" width="8.77734375" style="83" customWidth="1"/>
    <col min="2800" max="2800" width="8.77734375" style="83" bestFit="1" customWidth="1"/>
    <col min="2801" max="2801" width="11.5546875" style="83" customWidth="1"/>
    <col min="2802" max="2802" width="11.44140625" style="83" customWidth="1"/>
    <col min="2803" max="2803" width="7" style="83" bestFit="1" customWidth="1"/>
    <col min="2804" max="2804" width="8.77734375" style="83" bestFit="1" customWidth="1"/>
    <col min="2805" max="2805" width="15.21875" style="83" customWidth="1"/>
    <col min="2806" max="2807" width="12.5546875" style="83" bestFit="1" customWidth="1"/>
    <col min="2808" max="2808" width="11.5546875" style="83" bestFit="1" customWidth="1"/>
    <col min="2809" max="2809" width="10.5546875" style="83" bestFit="1" customWidth="1"/>
    <col min="2810" max="2810" width="14.21875" style="83" bestFit="1" customWidth="1"/>
    <col min="2811" max="2811" width="9.21875" style="83"/>
    <col min="2812" max="2812" width="11.77734375" style="83" bestFit="1" customWidth="1"/>
    <col min="2813" max="3004" width="9.21875" style="83"/>
    <col min="3005" max="3005" width="9" style="83" bestFit="1" customWidth="1"/>
    <col min="3006" max="3006" width="56" style="83" customWidth="1"/>
    <col min="3007" max="3007" width="6.44140625" style="83" customWidth="1"/>
    <col min="3008" max="3008" width="12.21875" style="83" bestFit="1" customWidth="1"/>
    <col min="3009" max="3009" width="13" style="83" bestFit="1" customWidth="1"/>
    <col min="3010" max="3010" width="14.77734375" style="83" bestFit="1" customWidth="1"/>
    <col min="3011" max="3011" width="16.21875" style="83" customWidth="1"/>
    <col min="3012" max="3012" width="13.77734375" style="83" customWidth="1"/>
    <col min="3013" max="3013" width="11.77734375" style="83" customWidth="1"/>
    <col min="3014" max="3014" width="13.5546875" style="83" customWidth="1"/>
    <col min="3015" max="3015" width="10.5546875" style="83" customWidth="1"/>
    <col min="3016" max="3016" width="11.77734375" style="83" bestFit="1" customWidth="1"/>
    <col min="3017" max="3017" width="14.77734375" style="83" bestFit="1" customWidth="1"/>
    <col min="3018" max="3018" width="12.5546875" style="83" customWidth="1"/>
    <col min="3019" max="3019" width="12.77734375" style="83" bestFit="1" customWidth="1"/>
    <col min="3020" max="3020" width="12.21875" style="83" customWidth="1"/>
    <col min="3021" max="3021" width="28" style="83" customWidth="1"/>
    <col min="3022" max="3022" width="10.44140625" style="83" customWidth="1"/>
    <col min="3023" max="3047" width="9.21875" style="83"/>
    <col min="3048" max="3048" width="9" style="83" bestFit="1" customWidth="1"/>
    <col min="3049" max="3049" width="56" style="83" customWidth="1"/>
    <col min="3050" max="3050" width="6.44140625" style="83" customWidth="1"/>
    <col min="3051" max="3051" width="10.77734375" style="83" customWidth="1"/>
    <col min="3052" max="3052" width="13" style="83" bestFit="1" customWidth="1"/>
    <col min="3053" max="3053" width="14.77734375" style="83" bestFit="1" customWidth="1"/>
    <col min="3054" max="3054" width="4.44140625" style="83" customWidth="1"/>
    <col min="3055" max="3055" width="8.77734375" style="83" customWidth="1"/>
    <col min="3056" max="3056" width="8.77734375" style="83" bestFit="1" customWidth="1"/>
    <col min="3057" max="3057" width="11.5546875" style="83" customWidth="1"/>
    <col min="3058" max="3058" width="11.44140625" style="83" customWidth="1"/>
    <col min="3059" max="3059" width="7" style="83" bestFit="1" customWidth="1"/>
    <col min="3060" max="3060" width="8.77734375" style="83" bestFit="1" customWidth="1"/>
    <col min="3061" max="3061" width="15.21875" style="83" customWidth="1"/>
    <col min="3062" max="3063" width="12.5546875" style="83" bestFit="1" customWidth="1"/>
    <col min="3064" max="3064" width="11.5546875" style="83" bestFit="1" customWidth="1"/>
    <col min="3065" max="3065" width="10.5546875" style="83" bestFit="1" customWidth="1"/>
    <col min="3066" max="3066" width="14.21875" style="83" bestFit="1" customWidth="1"/>
    <col min="3067" max="3067" width="9.21875" style="83"/>
    <col min="3068" max="3068" width="11.77734375" style="83" bestFit="1" customWidth="1"/>
    <col min="3069" max="3260" width="9.21875" style="83"/>
    <col min="3261" max="3261" width="9" style="83" bestFit="1" customWidth="1"/>
    <col min="3262" max="3262" width="56" style="83" customWidth="1"/>
    <col min="3263" max="3263" width="6.44140625" style="83" customWidth="1"/>
    <col min="3264" max="3264" width="12.21875" style="83" bestFit="1" customWidth="1"/>
    <col min="3265" max="3265" width="13" style="83" bestFit="1" customWidth="1"/>
    <col min="3266" max="3266" width="14.77734375" style="83" bestFit="1" customWidth="1"/>
    <col min="3267" max="3267" width="16.21875" style="83" customWidth="1"/>
    <col min="3268" max="3268" width="13.77734375" style="83" customWidth="1"/>
    <col min="3269" max="3269" width="11.77734375" style="83" customWidth="1"/>
    <col min="3270" max="3270" width="13.5546875" style="83" customWidth="1"/>
    <col min="3271" max="3271" width="10.5546875" style="83" customWidth="1"/>
    <col min="3272" max="3272" width="11.77734375" style="83" bestFit="1" customWidth="1"/>
    <col min="3273" max="3273" width="14.77734375" style="83" bestFit="1" customWidth="1"/>
    <col min="3274" max="3274" width="12.5546875" style="83" customWidth="1"/>
    <col min="3275" max="3275" width="12.77734375" style="83" bestFit="1" customWidth="1"/>
    <col min="3276" max="3276" width="12.21875" style="83" customWidth="1"/>
    <col min="3277" max="3277" width="28" style="83" customWidth="1"/>
    <col min="3278" max="3278" width="10.44140625" style="83" customWidth="1"/>
    <col min="3279" max="3303" width="9.21875" style="83"/>
    <col min="3304" max="3304" width="9" style="83" bestFit="1" customWidth="1"/>
    <col min="3305" max="3305" width="56" style="83" customWidth="1"/>
    <col min="3306" max="3306" width="6.44140625" style="83" customWidth="1"/>
    <col min="3307" max="3307" width="10.77734375" style="83" customWidth="1"/>
    <col min="3308" max="3308" width="13" style="83" bestFit="1" customWidth="1"/>
    <col min="3309" max="3309" width="14.77734375" style="83" bestFit="1" customWidth="1"/>
    <col min="3310" max="3310" width="4.44140625" style="83" customWidth="1"/>
    <col min="3311" max="3311" width="8.77734375" style="83" customWidth="1"/>
    <col min="3312" max="3312" width="8.77734375" style="83" bestFit="1" customWidth="1"/>
    <col min="3313" max="3313" width="11.5546875" style="83" customWidth="1"/>
    <col min="3314" max="3314" width="11.44140625" style="83" customWidth="1"/>
    <col min="3315" max="3315" width="7" style="83" bestFit="1" customWidth="1"/>
    <col min="3316" max="3316" width="8.77734375" style="83" bestFit="1" customWidth="1"/>
    <col min="3317" max="3317" width="15.21875" style="83" customWidth="1"/>
    <col min="3318" max="3319" width="12.5546875" style="83" bestFit="1" customWidth="1"/>
    <col min="3320" max="3320" width="11.5546875" style="83" bestFit="1" customWidth="1"/>
    <col min="3321" max="3321" width="10.5546875" style="83" bestFit="1" customWidth="1"/>
    <col min="3322" max="3322" width="14.21875" style="83" bestFit="1" customWidth="1"/>
    <col min="3323" max="3323" width="9.21875" style="83"/>
    <col min="3324" max="3324" width="11.77734375" style="83" bestFit="1" customWidth="1"/>
    <col min="3325" max="3516" width="9.21875" style="83"/>
    <col min="3517" max="3517" width="9" style="83" bestFit="1" customWidth="1"/>
    <col min="3518" max="3518" width="56" style="83" customWidth="1"/>
    <col min="3519" max="3519" width="6.44140625" style="83" customWidth="1"/>
    <col min="3520" max="3520" width="12.21875" style="83" bestFit="1" customWidth="1"/>
    <col min="3521" max="3521" width="13" style="83" bestFit="1" customWidth="1"/>
    <col min="3522" max="3522" width="14.77734375" style="83" bestFit="1" customWidth="1"/>
    <col min="3523" max="3523" width="16.21875" style="83" customWidth="1"/>
    <col min="3524" max="3524" width="13.77734375" style="83" customWidth="1"/>
    <col min="3525" max="3525" width="11.77734375" style="83" customWidth="1"/>
    <col min="3526" max="3526" width="13.5546875" style="83" customWidth="1"/>
    <col min="3527" max="3527" width="10.5546875" style="83" customWidth="1"/>
    <col min="3528" max="3528" width="11.77734375" style="83" bestFit="1" customWidth="1"/>
    <col min="3529" max="3529" width="14.77734375" style="83" bestFit="1" customWidth="1"/>
    <col min="3530" max="3530" width="12.5546875" style="83" customWidth="1"/>
    <col min="3531" max="3531" width="12.77734375" style="83" bestFit="1" customWidth="1"/>
    <col min="3532" max="3532" width="12.21875" style="83" customWidth="1"/>
    <col min="3533" max="3533" width="28" style="83" customWidth="1"/>
    <col min="3534" max="3534" width="10.44140625" style="83" customWidth="1"/>
    <col min="3535" max="3559" width="9.21875" style="83"/>
    <col min="3560" max="3560" width="9" style="83" bestFit="1" customWidth="1"/>
    <col min="3561" max="3561" width="56" style="83" customWidth="1"/>
    <col min="3562" max="3562" width="6.44140625" style="83" customWidth="1"/>
    <col min="3563" max="3563" width="10.77734375" style="83" customWidth="1"/>
    <col min="3564" max="3564" width="13" style="83" bestFit="1" customWidth="1"/>
    <col min="3565" max="3565" width="14.77734375" style="83" bestFit="1" customWidth="1"/>
    <col min="3566" max="3566" width="4.44140625" style="83" customWidth="1"/>
    <col min="3567" max="3567" width="8.77734375" style="83" customWidth="1"/>
    <col min="3568" max="3568" width="8.77734375" style="83" bestFit="1" customWidth="1"/>
    <col min="3569" max="3569" width="11.5546875" style="83" customWidth="1"/>
    <col min="3570" max="3570" width="11.44140625" style="83" customWidth="1"/>
    <col min="3571" max="3571" width="7" style="83" bestFit="1" customWidth="1"/>
    <col min="3572" max="3572" width="8.77734375" style="83" bestFit="1" customWidth="1"/>
    <col min="3573" max="3573" width="15.21875" style="83" customWidth="1"/>
    <col min="3574" max="3575" width="12.5546875" style="83" bestFit="1" customWidth="1"/>
    <col min="3576" max="3576" width="11.5546875" style="83" bestFit="1" customWidth="1"/>
    <col min="3577" max="3577" width="10.5546875" style="83" bestFit="1" customWidth="1"/>
    <col min="3578" max="3578" width="14.21875" style="83" bestFit="1" customWidth="1"/>
    <col min="3579" max="3579" width="9.21875" style="83"/>
    <col min="3580" max="3580" width="11.77734375" style="83" bestFit="1" customWidth="1"/>
    <col min="3581" max="3772" width="9.21875" style="83"/>
    <col min="3773" max="3773" width="9" style="83" bestFit="1" customWidth="1"/>
    <col min="3774" max="3774" width="56" style="83" customWidth="1"/>
    <col min="3775" max="3775" width="6.44140625" style="83" customWidth="1"/>
    <col min="3776" max="3776" width="12.21875" style="83" bestFit="1" customWidth="1"/>
    <col min="3777" max="3777" width="13" style="83" bestFit="1" customWidth="1"/>
    <col min="3778" max="3778" width="14.77734375" style="83" bestFit="1" customWidth="1"/>
    <col min="3779" max="3779" width="16.21875" style="83" customWidth="1"/>
    <col min="3780" max="3780" width="13.77734375" style="83" customWidth="1"/>
    <col min="3781" max="3781" width="11.77734375" style="83" customWidth="1"/>
    <col min="3782" max="3782" width="13.5546875" style="83" customWidth="1"/>
    <col min="3783" max="3783" width="10.5546875" style="83" customWidth="1"/>
    <col min="3784" max="3784" width="11.77734375" style="83" bestFit="1" customWidth="1"/>
    <col min="3785" max="3785" width="14.77734375" style="83" bestFit="1" customWidth="1"/>
    <col min="3786" max="3786" width="12.5546875" style="83" customWidth="1"/>
    <col min="3787" max="3787" width="12.77734375" style="83" bestFit="1" customWidth="1"/>
    <col min="3788" max="3788" width="12.21875" style="83" customWidth="1"/>
    <col min="3789" max="3789" width="28" style="83" customWidth="1"/>
    <col min="3790" max="3790" width="10.44140625" style="83" customWidth="1"/>
    <col min="3791" max="3815" width="9.21875" style="83"/>
    <col min="3816" max="3816" width="9" style="83" bestFit="1" customWidth="1"/>
    <col min="3817" max="3817" width="56" style="83" customWidth="1"/>
    <col min="3818" max="3818" width="6.44140625" style="83" customWidth="1"/>
    <col min="3819" max="3819" width="10.77734375" style="83" customWidth="1"/>
    <col min="3820" max="3820" width="13" style="83" bestFit="1" customWidth="1"/>
    <col min="3821" max="3821" width="14.77734375" style="83" bestFit="1" customWidth="1"/>
    <col min="3822" max="3822" width="4.44140625" style="83" customWidth="1"/>
    <col min="3823" max="3823" width="8.77734375" style="83" customWidth="1"/>
    <col min="3824" max="3824" width="8.77734375" style="83" bestFit="1" customWidth="1"/>
    <col min="3825" max="3825" width="11.5546875" style="83" customWidth="1"/>
    <col min="3826" max="3826" width="11.44140625" style="83" customWidth="1"/>
    <col min="3827" max="3827" width="7" style="83" bestFit="1" customWidth="1"/>
    <col min="3828" max="3828" width="8.77734375" style="83" bestFit="1" customWidth="1"/>
    <col min="3829" max="3829" width="15.21875" style="83" customWidth="1"/>
    <col min="3830" max="3831" width="12.5546875" style="83" bestFit="1" customWidth="1"/>
    <col min="3832" max="3832" width="11.5546875" style="83" bestFit="1" customWidth="1"/>
    <col min="3833" max="3833" width="10.5546875" style="83" bestFit="1" customWidth="1"/>
    <col min="3834" max="3834" width="14.21875" style="83" bestFit="1" customWidth="1"/>
    <col min="3835" max="3835" width="9.21875" style="83"/>
    <col min="3836" max="3836" width="11.77734375" style="83" bestFit="1" customWidth="1"/>
    <col min="3837" max="4028" width="9.21875" style="83"/>
    <col min="4029" max="4029" width="9" style="83" bestFit="1" customWidth="1"/>
    <col min="4030" max="4030" width="56" style="83" customWidth="1"/>
    <col min="4031" max="4031" width="6.44140625" style="83" customWidth="1"/>
    <col min="4032" max="4032" width="12.21875" style="83" bestFit="1" customWidth="1"/>
    <col min="4033" max="4033" width="13" style="83" bestFit="1" customWidth="1"/>
    <col min="4034" max="4034" width="14.77734375" style="83" bestFit="1" customWidth="1"/>
    <col min="4035" max="4035" width="16.21875" style="83" customWidth="1"/>
    <col min="4036" max="4036" width="13.77734375" style="83" customWidth="1"/>
    <col min="4037" max="4037" width="11.77734375" style="83" customWidth="1"/>
    <col min="4038" max="4038" width="13.5546875" style="83" customWidth="1"/>
    <col min="4039" max="4039" width="10.5546875" style="83" customWidth="1"/>
    <col min="4040" max="4040" width="11.77734375" style="83" bestFit="1" customWidth="1"/>
    <col min="4041" max="4041" width="14.77734375" style="83" bestFit="1" customWidth="1"/>
    <col min="4042" max="4042" width="12.5546875" style="83" customWidth="1"/>
    <col min="4043" max="4043" width="12.77734375" style="83" bestFit="1" customWidth="1"/>
    <col min="4044" max="4044" width="12.21875" style="83" customWidth="1"/>
    <col min="4045" max="4045" width="28" style="83" customWidth="1"/>
    <col min="4046" max="4046" width="10.44140625" style="83" customWidth="1"/>
    <col min="4047" max="4071" width="9.21875" style="83"/>
    <col min="4072" max="4072" width="9" style="83" bestFit="1" customWidth="1"/>
    <col min="4073" max="4073" width="56" style="83" customWidth="1"/>
    <col min="4074" max="4074" width="6.44140625" style="83" customWidth="1"/>
    <col min="4075" max="4075" width="10.77734375" style="83" customWidth="1"/>
    <col min="4076" max="4076" width="13" style="83" bestFit="1" customWidth="1"/>
    <col min="4077" max="4077" width="14.77734375" style="83" bestFit="1" customWidth="1"/>
    <col min="4078" max="4078" width="4.44140625" style="83" customWidth="1"/>
    <col min="4079" max="4079" width="8.77734375" style="83" customWidth="1"/>
    <col min="4080" max="4080" width="8.77734375" style="83" bestFit="1" customWidth="1"/>
    <col min="4081" max="4081" width="11.5546875" style="83" customWidth="1"/>
    <col min="4082" max="4082" width="11.44140625" style="83" customWidth="1"/>
    <col min="4083" max="4083" width="7" style="83" bestFit="1" customWidth="1"/>
    <col min="4084" max="4084" width="8.77734375" style="83" bestFit="1" customWidth="1"/>
    <col min="4085" max="4085" width="15.21875" style="83" customWidth="1"/>
    <col min="4086" max="4087" width="12.5546875" style="83" bestFit="1" customWidth="1"/>
    <col min="4088" max="4088" width="11.5546875" style="83" bestFit="1" customWidth="1"/>
    <col min="4089" max="4089" width="10.5546875" style="83" bestFit="1" customWidth="1"/>
    <col min="4090" max="4090" width="14.21875" style="83" bestFit="1" customWidth="1"/>
    <col min="4091" max="4091" width="9.21875" style="83"/>
    <col min="4092" max="4092" width="11.77734375" style="83" bestFit="1" customWidth="1"/>
    <col min="4093" max="4284" width="9.21875" style="83"/>
    <col min="4285" max="4285" width="9" style="83" bestFit="1" customWidth="1"/>
    <col min="4286" max="4286" width="56" style="83" customWidth="1"/>
    <col min="4287" max="4287" width="6.44140625" style="83" customWidth="1"/>
    <col min="4288" max="4288" width="12.21875" style="83" bestFit="1" customWidth="1"/>
    <col min="4289" max="4289" width="13" style="83" bestFit="1" customWidth="1"/>
    <col min="4290" max="4290" width="14.77734375" style="83" bestFit="1" customWidth="1"/>
    <col min="4291" max="4291" width="16.21875" style="83" customWidth="1"/>
    <col min="4292" max="4292" width="13.77734375" style="83" customWidth="1"/>
    <col min="4293" max="4293" width="11.77734375" style="83" customWidth="1"/>
    <col min="4294" max="4294" width="13.5546875" style="83" customWidth="1"/>
    <col min="4295" max="4295" width="10.5546875" style="83" customWidth="1"/>
    <col min="4296" max="4296" width="11.77734375" style="83" bestFit="1" customWidth="1"/>
    <col min="4297" max="4297" width="14.77734375" style="83" bestFit="1" customWidth="1"/>
    <col min="4298" max="4298" width="12.5546875" style="83" customWidth="1"/>
    <col min="4299" max="4299" width="12.77734375" style="83" bestFit="1" customWidth="1"/>
    <col min="4300" max="4300" width="12.21875" style="83" customWidth="1"/>
    <col min="4301" max="4301" width="28" style="83" customWidth="1"/>
    <col min="4302" max="4302" width="10.44140625" style="83" customWidth="1"/>
    <col min="4303" max="4327" width="9.21875" style="83"/>
    <col min="4328" max="4328" width="9" style="83" bestFit="1" customWidth="1"/>
    <col min="4329" max="4329" width="56" style="83" customWidth="1"/>
    <col min="4330" max="4330" width="6.44140625" style="83" customWidth="1"/>
    <col min="4331" max="4331" width="10.77734375" style="83" customWidth="1"/>
    <col min="4332" max="4332" width="13" style="83" bestFit="1" customWidth="1"/>
    <col min="4333" max="4333" width="14.77734375" style="83" bestFit="1" customWidth="1"/>
    <col min="4334" max="4334" width="4.44140625" style="83" customWidth="1"/>
    <col min="4335" max="4335" width="8.77734375" style="83" customWidth="1"/>
    <col min="4336" max="4336" width="8.77734375" style="83" bestFit="1" customWidth="1"/>
    <col min="4337" max="4337" width="11.5546875" style="83" customWidth="1"/>
    <col min="4338" max="4338" width="11.44140625" style="83" customWidth="1"/>
    <col min="4339" max="4339" width="7" style="83" bestFit="1" customWidth="1"/>
    <col min="4340" max="4340" width="8.77734375" style="83" bestFit="1" customWidth="1"/>
    <col min="4341" max="4341" width="15.21875" style="83" customWidth="1"/>
    <col min="4342" max="4343" width="12.5546875" style="83" bestFit="1" customWidth="1"/>
    <col min="4344" max="4344" width="11.5546875" style="83" bestFit="1" customWidth="1"/>
    <col min="4345" max="4345" width="10.5546875" style="83" bestFit="1" customWidth="1"/>
    <col min="4346" max="4346" width="14.21875" style="83" bestFit="1" customWidth="1"/>
    <col min="4347" max="4347" width="9.21875" style="83"/>
    <col min="4348" max="4348" width="11.77734375" style="83" bestFit="1" customWidth="1"/>
    <col min="4349" max="4540" width="9.21875" style="83"/>
    <col min="4541" max="4541" width="9" style="83" bestFit="1" customWidth="1"/>
    <col min="4542" max="4542" width="56" style="83" customWidth="1"/>
    <col min="4543" max="4543" width="6.44140625" style="83" customWidth="1"/>
    <col min="4544" max="4544" width="12.21875" style="83" bestFit="1" customWidth="1"/>
    <col min="4545" max="4545" width="13" style="83" bestFit="1" customWidth="1"/>
    <col min="4546" max="4546" width="14.77734375" style="83" bestFit="1" customWidth="1"/>
    <col min="4547" max="4547" width="16.21875" style="83" customWidth="1"/>
    <col min="4548" max="4548" width="13.77734375" style="83" customWidth="1"/>
    <col min="4549" max="4549" width="11.77734375" style="83" customWidth="1"/>
    <col min="4550" max="4550" width="13.5546875" style="83" customWidth="1"/>
    <col min="4551" max="4551" width="10.5546875" style="83" customWidth="1"/>
    <col min="4552" max="4552" width="11.77734375" style="83" bestFit="1" customWidth="1"/>
    <col min="4553" max="4553" width="14.77734375" style="83" bestFit="1" customWidth="1"/>
    <col min="4554" max="4554" width="12.5546875" style="83" customWidth="1"/>
    <col min="4555" max="4555" width="12.77734375" style="83" bestFit="1" customWidth="1"/>
    <col min="4556" max="4556" width="12.21875" style="83" customWidth="1"/>
    <col min="4557" max="4557" width="28" style="83" customWidth="1"/>
    <col min="4558" max="4558" width="10.44140625" style="83" customWidth="1"/>
    <col min="4559" max="4583" width="9.21875" style="83"/>
    <col min="4584" max="4584" width="9" style="83" bestFit="1" customWidth="1"/>
    <col min="4585" max="4585" width="56" style="83" customWidth="1"/>
    <col min="4586" max="4586" width="6.44140625" style="83" customWidth="1"/>
    <col min="4587" max="4587" width="10.77734375" style="83" customWidth="1"/>
    <col min="4588" max="4588" width="13" style="83" bestFit="1" customWidth="1"/>
    <col min="4589" max="4589" width="14.77734375" style="83" bestFit="1" customWidth="1"/>
    <col min="4590" max="4590" width="4.44140625" style="83" customWidth="1"/>
    <col min="4591" max="4591" width="8.77734375" style="83" customWidth="1"/>
    <col min="4592" max="4592" width="8.77734375" style="83" bestFit="1" customWidth="1"/>
    <col min="4593" max="4593" width="11.5546875" style="83" customWidth="1"/>
    <col min="4594" max="4594" width="11.44140625" style="83" customWidth="1"/>
    <col min="4595" max="4595" width="7" style="83" bestFit="1" customWidth="1"/>
    <col min="4596" max="4596" width="8.77734375" style="83" bestFit="1" customWidth="1"/>
    <col min="4597" max="4597" width="15.21875" style="83" customWidth="1"/>
    <col min="4598" max="4599" width="12.5546875" style="83" bestFit="1" customWidth="1"/>
    <col min="4600" max="4600" width="11.5546875" style="83" bestFit="1" customWidth="1"/>
    <col min="4601" max="4601" width="10.5546875" style="83" bestFit="1" customWidth="1"/>
    <col min="4602" max="4602" width="14.21875" style="83" bestFit="1" customWidth="1"/>
    <col min="4603" max="4603" width="9.21875" style="83"/>
    <col min="4604" max="4604" width="11.77734375" style="83" bestFit="1" customWidth="1"/>
    <col min="4605" max="4796" width="9.21875" style="83"/>
    <col min="4797" max="4797" width="9" style="83" bestFit="1" customWidth="1"/>
    <col min="4798" max="4798" width="56" style="83" customWidth="1"/>
    <col min="4799" max="4799" width="6.44140625" style="83" customWidth="1"/>
    <col min="4800" max="4800" width="12.21875" style="83" bestFit="1" customWidth="1"/>
    <col min="4801" max="4801" width="13" style="83" bestFit="1" customWidth="1"/>
    <col min="4802" max="4802" width="14.77734375" style="83" bestFit="1" customWidth="1"/>
    <col min="4803" max="4803" width="16.21875" style="83" customWidth="1"/>
    <col min="4804" max="4804" width="13.77734375" style="83" customWidth="1"/>
    <col min="4805" max="4805" width="11.77734375" style="83" customWidth="1"/>
    <col min="4806" max="4806" width="13.5546875" style="83" customWidth="1"/>
    <col min="4807" max="4807" width="10.5546875" style="83" customWidth="1"/>
    <col min="4808" max="4808" width="11.77734375" style="83" bestFit="1" customWidth="1"/>
    <col min="4809" max="4809" width="14.77734375" style="83" bestFit="1" customWidth="1"/>
    <col min="4810" max="4810" width="12.5546875" style="83" customWidth="1"/>
    <col min="4811" max="4811" width="12.77734375" style="83" bestFit="1" customWidth="1"/>
    <col min="4812" max="4812" width="12.21875" style="83" customWidth="1"/>
    <col min="4813" max="4813" width="28" style="83" customWidth="1"/>
    <col min="4814" max="4814" width="10.44140625" style="83" customWidth="1"/>
    <col min="4815" max="4839" width="9.21875" style="83"/>
    <col min="4840" max="4840" width="9" style="83" bestFit="1" customWidth="1"/>
    <col min="4841" max="4841" width="56" style="83" customWidth="1"/>
    <col min="4842" max="4842" width="6.44140625" style="83" customWidth="1"/>
    <col min="4843" max="4843" width="10.77734375" style="83" customWidth="1"/>
    <col min="4844" max="4844" width="13" style="83" bestFit="1" customWidth="1"/>
    <col min="4845" max="4845" width="14.77734375" style="83" bestFit="1" customWidth="1"/>
    <col min="4846" max="4846" width="4.44140625" style="83" customWidth="1"/>
    <col min="4847" max="4847" width="8.77734375" style="83" customWidth="1"/>
    <col min="4848" max="4848" width="8.77734375" style="83" bestFit="1" customWidth="1"/>
    <col min="4849" max="4849" width="11.5546875" style="83" customWidth="1"/>
    <col min="4850" max="4850" width="11.44140625" style="83" customWidth="1"/>
    <col min="4851" max="4851" width="7" style="83" bestFit="1" customWidth="1"/>
    <col min="4852" max="4852" width="8.77734375" style="83" bestFit="1" customWidth="1"/>
    <col min="4853" max="4853" width="15.21875" style="83" customWidth="1"/>
    <col min="4854" max="4855" width="12.5546875" style="83" bestFit="1" customWidth="1"/>
    <col min="4856" max="4856" width="11.5546875" style="83" bestFit="1" customWidth="1"/>
    <col min="4857" max="4857" width="10.5546875" style="83" bestFit="1" customWidth="1"/>
    <col min="4858" max="4858" width="14.21875" style="83" bestFit="1" customWidth="1"/>
    <col min="4859" max="4859" width="9.21875" style="83"/>
    <col min="4860" max="4860" width="11.77734375" style="83" bestFit="1" customWidth="1"/>
    <col min="4861" max="5052" width="9.21875" style="83"/>
    <col min="5053" max="5053" width="9" style="83" bestFit="1" customWidth="1"/>
    <col min="5054" max="5054" width="56" style="83" customWidth="1"/>
    <col min="5055" max="5055" width="6.44140625" style="83" customWidth="1"/>
    <col min="5056" max="5056" width="12.21875" style="83" bestFit="1" customWidth="1"/>
    <col min="5057" max="5057" width="13" style="83" bestFit="1" customWidth="1"/>
    <col min="5058" max="5058" width="14.77734375" style="83" bestFit="1" customWidth="1"/>
    <col min="5059" max="5059" width="16.21875" style="83" customWidth="1"/>
    <col min="5060" max="5060" width="13.77734375" style="83" customWidth="1"/>
    <col min="5061" max="5061" width="11.77734375" style="83" customWidth="1"/>
    <col min="5062" max="5062" width="13.5546875" style="83" customWidth="1"/>
    <col min="5063" max="5063" width="10.5546875" style="83" customWidth="1"/>
    <col min="5064" max="5064" width="11.77734375" style="83" bestFit="1" customWidth="1"/>
    <col min="5065" max="5065" width="14.77734375" style="83" bestFit="1" customWidth="1"/>
    <col min="5066" max="5066" width="12.5546875" style="83" customWidth="1"/>
    <col min="5067" max="5067" width="12.77734375" style="83" bestFit="1" customWidth="1"/>
    <col min="5068" max="5068" width="12.21875" style="83" customWidth="1"/>
    <col min="5069" max="5069" width="28" style="83" customWidth="1"/>
    <col min="5070" max="5070" width="10.44140625" style="83" customWidth="1"/>
    <col min="5071" max="5095" width="9.21875" style="83"/>
    <col min="5096" max="5096" width="9" style="83" bestFit="1" customWidth="1"/>
    <col min="5097" max="5097" width="56" style="83" customWidth="1"/>
    <col min="5098" max="5098" width="6.44140625" style="83" customWidth="1"/>
    <col min="5099" max="5099" width="10.77734375" style="83" customWidth="1"/>
    <col min="5100" max="5100" width="13" style="83" bestFit="1" customWidth="1"/>
    <col min="5101" max="5101" width="14.77734375" style="83" bestFit="1" customWidth="1"/>
    <col min="5102" max="5102" width="4.44140625" style="83" customWidth="1"/>
    <col min="5103" max="5103" width="8.77734375" style="83" customWidth="1"/>
    <col min="5104" max="5104" width="8.77734375" style="83" bestFit="1" customWidth="1"/>
    <col min="5105" max="5105" width="11.5546875" style="83" customWidth="1"/>
    <col min="5106" max="5106" width="11.44140625" style="83" customWidth="1"/>
    <col min="5107" max="5107" width="7" style="83" bestFit="1" customWidth="1"/>
    <col min="5108" max="5108" width="8.77734375" style="83" bestFit="1" customWidth="1"/>
    <col min="5109" max="5109" width="15.21875" style="83" customWidth="1"/>
    <col min="5110" max="5111" width="12.5546875" style="83" bestFit="1" customWidth="1"/>
    <col min="5112" max="5112" width="11.5546875" style="83" bestFit="1" customWidth="1"/>
    <col min="5113" max="5113" width="10.5546875" style="83" bestFit="1" customWidth="1"/>
    <col min="5114" max="5114" width="14.21875" style="83" bestFit="1" customWidth="1"/>
    <col min="5115" max="5115" width="9.21875" style="83"/>
    <col min="5116" max="5116" width="11.77734375" style="83" bestFit="1" customWidth="1"/>
    <col min="5117" max="5308" width="9.21875" style="83"/>
    <col min="5309" max="5309" width="9" style="83" bestFit="1" customWidth="1"/>
    <col min="5310" max="5310" width="56" style="83" customWidth="1"/>
    <col min="5311" max="5311" width="6.44140625" style="83" customWidth="1"/>
    <col min="5312" max="5312" width="12.21875" style="83" bestFit="1" customWidth="1"/>
    <col min="5313" max="5313" width="13" style="83" bestFit="1" customWidth="1"/>
    <col min="5314" max="5314" width="14.77734375" style="83" bestFit="1" customWidth="1"/>
    <col min="5315" max="5315" width="16.21875" style="83" customWidth="1"/>
    <col min="5316" max="5316" width="13.77734375" style="83" customWidth="1"/>
    <col min="5317" max="5317" width="11.77734375" style="83" customWidth="1"/>
    <col min="5318" max="5318" width="13.5546875" style="83" customWidth="1"/>
    <col min="5319" max="5319" width="10.5546875" style="83" customWidth="1"/>
    <col min="5320" max="5320" width="11.77734375" style="83" bestFit="1" customWidth="1"/>
    <col min="5321" max="5321" width="14.77734375" style="83" bestFit="1" customWidth="1"/>
    <col min="5322" max="5322" width="12.5546875" style="83" customWidth="1"/>
    <col min="5323" max="5323" width="12.77734375" style="83" bestFit="1" customWidth="1"/>
    <col min="5324" max="5324" width="12.21875" style="83" customWidth="1"/>
    <col min="5325" max="5325" width="28" style="83" customWidth="1"/>
    <col min="5326" max="5326" width="10.44140625" style="83" customWidth="1"/>
    <col min="5327" max="5351" width="9.21875" style="83"/>
    <col min="5352" max="5352" width="9" style="83" bestFit="1" customWidth="1"/>
    <col min="5353" max="5353" width="56" style="83" customWidth="1"/>
    <col min="5354" max="5354" width="6.44140625" style="83" customWidth="1"/>
    <col min="5355" max="5355" width="10.77734375" style="83" customWidth="1"/>
    <col min="5356" max="5356" width="13" style="83" bestFit="1" customWidth="1"/>
    <col min="5357" max="5357" width="14.77734375" style="83" bestFit="1" customWidth="1"/>
    <col min="5358" max="5358" width="4.44140625" style="83" customWidth="1"/>
    <col min="5359" max="5359" width="8.77734375" style="83" customWidth="1"/>
    <col min="5360" max="5360" width="8.77734375" style="83" bestFit="1" customWidth="1"/>
    <col min="5361" max="5361" width="11.5546875" style="83" customWidth="1"/>
    <col min="5362" max="5362" width="11.44140625" style="83" customWidth="1"/>
    <col min="5363" max="5363" width="7" style="83" bestFit="1" customWidth="1"/>
    <col min="5364" max="5364" width="8.77734375" style="83" bestFit="1" customWidth="1"/>
    <col min="5365" max="5365" width="15.21875" style="83" customWidth="1"/>
    <col min="5366" max="5367" width="12.5546875" style="83" bestFit="1" customWidth="1"/>
    <col min="5368" max="5368" width="11.5546875" style="83" bestFit="1" customWidth="1"/>
    <col min="5369" max="5369" width="10.5546875" style="83" bestFit="1" customWidth="1"/>
    <col min="5370" max="5370" width="14.21875" style="83" bestFit="1" customWidth="1"/>
    <col min="5371" max="5371" width="9.21875" style="83"/>
    <col min="5372" max="5372" width="11.77734375" style="83" bestFit="1" customWidth="1"/>
    <col min="5373" max="5564" width="9.21875" style="83"/>
    <col min="5565" max="5565" width="9" style="83" bestFit="1" customWidth="1"/>
    <col min="5566" max="5566" width="56" style="83" customWidth="1"/>
    <col min="5567" max="5567" width="6.44140625" style="83" customWidth="1"/>
    <col min="5568" max="5568" width="12.21875" style="83" bestFit="1" customWidth="1"/>
    <col min="5569" max="5569" width="13" style="83" bestFit="1" customWidth="1"/>
    <col min="5570" max="5570" width="14.77734375" style="83" bestFit="1" customWidth="1"/>
    <col min="5571" max="5571" width="16.21875" style="83" customWidth="1"/>
    <col min="5572" max="5572" width="13.77734375" style="83" customWidth="1"/>
    <col min="5573" max="5573" width="11.77734375" style="83" customWidth="1"/>
    <col min="5574" max="5574" width="13.5546875" style="83" customWidth="1"/>
    <col min="5575" max="5575" width="10.5546875" style="83" customWidth="1"/>
    <col min="5576" max="5576" width="11.77734375" style="83" bestFit="1" customWidth="1"/>
    <col min="5577" max="5577" width="14.77734375" style="83" bestFit="1" customWidth="1"/>
    <col min="5578" max="5578" width="12.5546875" style="83" customWidth="1"/>
    <col min="5579" max="5579" width="12.77734375" style="83" bestFit="1" customWidth="1"/>
    <col min="5580" max="5580" width="12.21875" style="83" customWidth="1"/>
    <col min="5581" max="5581" width="28" style="83" customWidth="1"/>
    <col min="5582" max="5582" width="10.44140625" style="83" customWidth="1"/>
    <col min="5583" max="5607" width="9.21875" style="83"/>
    <col min="5608" max="5608" width="9" style="83" bestFit="1" customWidth="1"/>
    <col min="5609" max="5609" width="56" style="83" customWidth="1"/>
    <col min="5610" max="5610" width="6.44140625" style="83" customWidth="1"/>
    <col min="5611" max="5611" width="10.77734375" style="83" customWidth="1"/>
    <col min="5612" max="5612" width="13" style="83" bestFit="1" customWidth="1"/>
    <col min="5613" max="5613" width="14.77734375" style="83" bestFit="1" customWidth="1"/>
    <col min="5614" max="5614" width="4.44140625" style="83" customWidth="1"/>
    <col min="5615" max="5615" width="8.77734375" style="83" customWidth="1"/>
    <col min="5616" max="5616" width="8.77734375" style="83" bestFit="1" customWidth="1"/>
    <col min="5617" max="5617" width="11.5546875" style="83" customWidth="1"/>
    <col min="5618" max="5618" width="11.44140625" style="83" customWidth="1"/>
    <col min="5619" max="5619" width="7" style="83" bestFit="1" customWidth="1"/>
    <col min="5620" max="5620" width="8.77734375" style="83" bestFit="1" customWidth="1"/>
    <col min="5621" max="5621" width="15.21875" style="83" customWidth="1"/>
    <col min="5622" max="5623" width="12.5546875" style="83" bestFit="1" customWidth="1"/>
    <col min="5624" max="5624" width="11.5546875" style="83" bestFit="1" customWidth="1"/>
    <col min="5625" max="5625" width="10.5546875" style="83" bestFit="1" customWidth="1"/>
    <col min="5626" max="5626" width="14.21875" style="83" bestFit="1" customWidth="1"/>
    <col min="5627" max="5627" width="9.21875" style="83"/>
    <col min="5628" max="5628" width="11.77734375" style="83" bestFit="1" customWidth="1"/>
    <col min="5629" max="5820" width="9.21875" style="83"/>
    <col min="5821" max="5821" width="9" style="83" bestFit="1" customWidth="1"/>
    <col min="5822" max="5822" width="56" style="83" customWidth="1"/>
    <col min="5823" max="5823" width="6.44140625" style="83" customWidth="1"/>
    <col min="5824" max="5824" width="12.21875" style="83" bestFit="1" customWidth="1"/>
    <col min="5825" max="5825" width="13" style="83" bestFit="1" customWidth="1"/>
    <col min="5826" max="5826" width="14.77734375" style="83" bestFit="1" customWidth="1"/>
    <col min="5827" max="5827" width="16.21875" style="83" customWidth="1"/>
    <col min="5828" max="5828" width="13.77734375" style="83" customWidth="1"/>
    <col min="5829" max="5829" width="11.77734375" style="83" customWidth="1"/>
    <col min="5830" max="5830" width="13.5546875" style="83" customWidth="1"/>
    <col min="5831" max="5831" width="10.5546875" style="83" customWidth="1"/>
    <col min="5832" max="5832" width="11.77734375" style="83" bestFit="1" customWidth="1"/>
    <col min="5833" max="5833" width="14.77734375" style="83" bestFit="1" customWidth="1"/>
    <col min="5834" max="5834" width="12.5546875" style="83" customWidth="1"/>
    <col min="5835" max="5835" width="12.77734375" style="83" bestFit="1" customWidth="1"/>
    <col min="5836" max="5836" width="12.21875" style="83" customWidth="1"/>
    <col min="5837" max="5837" width="28" style="83" customWidth="1"/>
    <col min="5838" max="5838" width="10.44140625" style="83" customWidth="1"/>
    <col min="5839" max="5863" width="9.21875" style="83"/>
    <col min="5864" max="5864" width="9" style="83" bestFit="1" customWidth="1"/>
    <col min="5865" max="5865" width="56" style="83" customWidth="1"/>
    <col min="5866" max="5866" width="6.44140625" style="83" customWidth="1"/>
    <col min="5867" max="5867" width="10.77734375" style="83" customWidth="1"/>
    <col min="5868" max="5868" width="13" style="83" bestFit="1" customWidth="1"/>
    <col min="5869" max="5869" width="14.77734375" style="83" bestFit="1" customWidth="1"/>
    <col min="5870" max="5870" width="4.44140625" style="83" customWidth="1"/>
    <col min="5871" max="5871" width="8.77734375" style="83" customWidth="1"/>
    <col min="5872" max="5872" width="8.77734375" style="83" bestFit="1" customWidth="1"/>
    <col min="5873" max="5873" width="11.5546875" style="83" customWidth="1"/>
    <col min="5874" max="5874" width="11.44140625" style="83" customWidth="1"/>
    <col min="5875" max="5875" width="7" style="83" bestFit="1" customWidth="1"/>
    <col min="5876" max="5876" width="8.77734375" style="83" bestFit="1" customWidth="1"/>
    <col min="5877" max="5877" width="15.21875" style="83" customWidth="1"/>
    <col min="5878" max="5879" width="12.5546875" style="83" bestFit="1" customWidth="1"/>
    <col min="5880" max="5880" width="11.5546875" style="83" bestFit="1" customWidth="1"/>
    <col min="5881" max="5881" width="10.5546875" style="83" bestFit="1" customWidth="1"/>
    <col min="5882" max="5882" width="14.21875" style="83" bestFit="1" customWidth="1"/>
    <col min="5883" max="5883" width="9.21875" style="83"/>
    <col min="5884" max="5884" width="11.77734375" style="83" bestFit="1" customWidth="1"/>
    <col min="5885" max="6076" width="9.21875" style="83"/>
    <col min="6077" max="6077" width="9" style="83" bestFit="1" customWidth="1"/>
    <col min="6078" max="6078" width="56" style="83" customWidth="1"/>
    <col min="6079" max="6079" width="6.44140625" style="83" customWidth="1"/>
    <col min="6080" max="6080" width="12.21875" style="83" bestFit="1" customWidth="1"/>
    <col min="6081" max="6081" width="13" style="83" bestFit="1" customWidth="1"/>
    <col min="6082" max="6082" width="14.77734375" style="83" bestFit="1" customWidth="1"/>
    <col min="6083" max="6083" width="16.21875" style="83" customWidth="1"/>
    <col min="6084" max="6084" width="13.77734375" style="83" customWidth="1"/>
    <col min="6085" max="6085" width="11.77734375" style="83" customWidth="1"/>
    <col min="6086" max="6086" width="13.5546875" style="83" customWidth="1"/>
    <col min="6087" max="6087" width="10.5546875" style="83" customWidth="1"/>
    <col min="6088" max="6088" width="11.77734375" style="83" bestFit="1" customWidth="1"/>
    <col min="6089" max="6089" width="14.77734375" style="83" bestFit="1" customWidth="1"/>
    <col min="6090" max="6090" width="12.5546875" style="83" customWidth="1"/>
    <col min="6091" max="6091" width="12.77734375" style="83" bestFit="1" customWidth="1"/>
    <col min="6092" max="6092" width="12.21875" style="83" customWidth="1"/>
    <col min="6093" max="6093" width="28" style="83" customWidth="1"/>
    <col min="6094" max="6094" width="10.44140625" style="83" customWidth="1"/>
    <col min="6095" max="6119" width="9.21875" style="83"/>
    <col min="6120" max="6120" width="9" style="83" bestFit="1" customWidth="1"/>
    <col min="6121" max="6121" width="56" style="83" customWidth="1"/>
    <col min="6122" max="6122" width="6.44140625" style="83" customWidth="1"/>
    <col min="6123" max="6123" width="10.77734375" style="83" customWidth="1"/>
    <col min="6124" max="6124" width="13" style="83" bestFit="1" customWidth="1"/>
    <col min="6125" max="6125" width="14.77734375" style="83" bestFit="1" customWidth="1"/>
    <col min="6126" max="6126" width="4.44140625" style="83" customWidth="1"/>
    <col min="6127" max="6127" width="8.77734375" style="83" customWidth="1"/>
    <col min="6128" max="6128" width="8.77734375" style="83" bestFit="1" customWidth="1"/>
    <col min="6129" max="6129" width="11.5546875" style="83" customWidth="1"/>
    <col min="6130" max="6130" width="11.44140625" style="83" customWidth="1"/>
    <col min="6131" max="6131" width="7" style="83" bestFit="1" customWidth="1"/>
    <col min="6132" max="6132" width="8.77734375" style="83" bestFit="1" customWidth="1"/>
    <col min="6133" max="6133" width="15.21875" style="83" customWidth="1"/>
    <col min="6134" max="6135" width="12.5546875" style="83" bestFit="1" customWidth="1"/>
    <col min="6136" max="6136" width="11.5546875" style="83" bestFit="1" customWidth="1"/>
    <col min="6137" max="6137" width="10.5546875" style="83" bestFit="1" customWidth="1"/>
    <col min="6138" max="6138" width="14.21875" style="83" bestFit="1" customWidth="1"/>
    <col min="6139" max="6139" width="9.21875" style="83"/>
    <col min="6140" max="6140" width="11.77734375" style="83" bestFit="1" customWidth="1"/>
    <col min="6141" max="6332" width="9.21875" style="83"/>
    <col min="6333" max="6333" width="9" style="83" bestFit="1" customWidth="1"/>
    <col min="6334" max="6334" width="56" style="83" customWidth="1"/>
    <col min="6335" max="6335" width="6.44140625" style="83" customWidth="1"/>
    <col min="6336" max="6336" width="12.21875" style="83" bestFit="1" customWidth="1"/>
    <col min="6337" max="6337" width="13" style="83" bestFit="1" customWidth="1"/>
    <col min="6338" max="6338" width="14.77734375" style="83" bestFit="1" customWidth="1"/>
    <col min="6339" max="6339" width="16.21875" style="83" customWidth="1"/>
    <col min="6340" max="6340" width="13.77734375" style="83" customWidth="1"/>
    <col min="6341" max="6341" width="11.77734375" style="83" customWidth="1"/>
    <col min="6342" max="6342" width="13.5546875" style="83" customWidth="1"/>
    <col min="6343" max="6343" width="10.5546875" style="83" customWidth="1"/>
    <col min="6344" max="6344" width="11.77734375" style="83" bestFit="1" customWidth="1"/>
    <col min="6345" max="6345" width="14.77734375" style="83" bestFit="1" customWidth="1"/>
    <col min="6346" max="6346" width="12.5546875" style="83" customWidth="1"/>
    <col min="6347" max="6347" width="12.77734375" style="83" bestFit="1" customWidth="1"/>
    <col min="6348" max="6348" width="12.21875" style="83" customWidth="1"/>
    <col min="6349" max="6349" width="28" style="83" customWidth="1"/>
    <col min="6350" max="6350" width="10.44140625" style="83" customWidth="1"/>
    <col min="6351" max="6375" width="9.21875" style="83"/>
    <col min="6376" max="6376" width="9" style="83" bestFit="1" customWidth="1"/>
    <col min="6377" max="6377" width="56" style="83" customWidth="1"/>
    <col min="6378" max="6378" width="6.44140625" style="83" customWidth="1"/>
    <col min="6379" max="6379" width="10.77734375" style="83" customWidth="1"/>
    <col min="6380" max="6380" width="13" style="83" bestFit="1" customWidth="1"/>
    <col min="6381" max="6381" width="14.77734375" style="83" bestFit="1" customWidth="1"/>
    <col min="6382" max="6382" width="4.44140625" style="83" customWidth="1"/>
    <col min="6383" max="6383" width="8.77734375" style="83" customWidth="1"/>
    <col min="6384" max="6384" width="8.77734375" style="83" bestFit="1" customWidth="1"/>
    <col min="6385" max="6385" width="11.5546875" style="83" customWidth="1"/>
    <col min="6386" max="6386" width="11.44140625" style="83" customWidth="1"/>
    <col min="6387" max="6387" width="7" style="83" bestFit="1" customWidth="1"/>
    <col min="6388" max="6388" width="8.77734375" style="83" bestFit="1" customWidth="1"/>
    <col min="6389" max="6389" width="15.21875" style="83" customWidth="1"/>
    <col min="6390" max="6391" width="12.5546875" style="83" bestFit="1" customWidth="1"/>
    <col min="6392" max="6392" width="11.5546875" style="83" bestFit="1" customWidth="1"/>
    <col min="6393" max="6393" width="10.5546875" style="83" bestFit="1" customWidth="1"/>
    <col min="6394" max="6394" width="14.21875" style="83" bestFit="1" customWidth="1"/>
    <col min="6395" max="6395" width="9.21875" style="83"/>
    <col min="6396" max="6396" width="11.77734375" style="83" bestFit="1" customWidth="1"/>
    <col min="6397" max="6588" width="9.21875" style="83"/>
    <col min="6589" max="6589" width="9" style="83" bestFit="1" customWidth="1"/>
    <col min="6590" max="6590" width="56" style="83" customWidth="1"/>
    <col min="6591" max="6591" width="6.44140625" style="83" customWidth="1"/>
    <col min="6592" max="6592" width="12.21875" style="83" bestFit="1" customWidth="1"/>
    <col min="6593" max="6593" width="13" style="83" bestFit="1" customWidth="1"/>
    <col min="6594" max="6594" width="14.77734375" style="83" bestFit="1" customWidth="1"/>
    <col min="6595" max="6595" width="16.21875" style="83" customWidth="1"/>
    <col min="6596" max="6596" width="13.77734375" style="83" customWidth="1"/>
    <col min="6597" max="6597" width="11.77734375" style="83" customWidth="1"/>
    <col min="6598" max="6598" width="13.5546875" style="83" customWidth="1"/>
    <col min="6599" max="6599" width="10.5546875" style="83" customWidth="1"/>
    <col min="6600" max="6600" width="11.77734375" style="83" bestFit="1" customWidth="1"/>
    <col min="6601" max="6601" width="14.77734375" style="83" bestFit="1" customWidth="1"/>
    <col min="6602" max="6602" width="12.5546875" style="83" customWidth="1"/>
    <col min="6603" max="6603" width="12.77734375" style="83" bestFit="1" customWidth="1"/>
    <col min="6604" max="6604" width="12.21875" style="83" customWidth="1"/>
    <col min="6605" max="6605" width="28" style="83" customWidth="1"/>
    <col min="6606" max="6606" width="10.44140625" style="83" customWidth="1"/>
    <col min="6607" max="6631" width="9.21875" style="83"/>
    <col min="6632" max="6632" width="9" style="83" bestFit="1" customWidth="1"/>
    <col min="6633" max="6633" width="56" style="83" customWidth="1"/>
    <col min="6634" max="6634" width="6.44140625" style="83" customWidth="1"/>
    <col min="6635" max="6635" width="10.77734375" style="83" customWidth="1"/>
    <col min="6636" max="6636" width="13" style="83" bestFit="1" customWidth="1"/>
    <col min="6637" max="6637" width="14.77734375" style="83" bestFit="1" customWidth="1"/>
    <col min="6638" max="6638" width="4.44140625" style="83" customWidth="1"/>
    <col min="6639" max="6639" width="8.77734375" style="83" customWidth="1"/>
    <col min="6640" max="6640" width="8.77734375" style="83" bestFit="1" customWidth="1"/>
    <col min="6641" max="6641" width="11.5546875" style="83" customWidth="1"/>
    <col min="6642" max="6642" width="11.44140625" style="83" customWidth="1"/>
    <col min="6643" max="6643" width="7" style="83" bestFit="1" customWidth="1"/>
    <col min="6644" max="6644" width="8.77734375" style="83" bestFit="1" customWidth="1"/>
    <col min="6645" max="6645" width="15.21875" style="83" customWidth="1"/>
    <col min="6646" max="6647" width="12.5546875" style="83" bestFit="1" customWidth="1"/>
    <col min="6648" max="6648" width="11.5546875" style="83" bestFit="1" customWidth="1"/>
    <col min="6649" max="6649" width="10.5546875" style="83" bestFit="1" customWidth="1"/>
    <col min="6650" max="6650" width="14.21875" style="83" bestFit="1" customWidth="1"/>
    <col min="6651" max="6651" width="9.21875" style="83"/>
    <col min="6652" max="6652" width="11.77734375" style="83" bestFit="1" customWidth="1"/>
    <col min="6653" max="6844" width="9.21875" style="83"/>
    <col min="6845" max="6845" width="9" style="83" bestFit="1" customWidth="1"/>
    <col min="6846" max="6846" width="56" style="83" customWidth="1"/>
    <col min="6847" max="6847" width="6.44140625" style="83" customWidth="1"/>
    <col min="6848" max="6848" width="12.21875" style="83" bestFit="1" customWidth="1"/>
    <col min="6849" max="6849" width="13" style="83" bestFit="1" customWidth="1"/>
    <col min="6850" max="6850" width="14.77734375" style="83" bestFit="1" customWidth="1"/>
    <col min="6851" max="6851" width="16.21875" style="83" customWidth="1"/>
    <col min="6852" max="6852" width="13.77734375" style="83" customWidth="1"/>
    <col min="6853" max="6853" width="11.77734375" style="83" customWidth="1"/>
    <col min="6854" max="6854" width="13.5546875" style="83" customWidth="1"/>
    <col min="6855" max="6855" width="10.5546875" style="83" customWidth="1"/>
    <col min="6856" max="6856" width="11.77734375" style="83" bestFit="1" customWidth="1"/>
    <col min="6857" max="6857" width="14.77734375" style="83" bestFit="1" customWidth="1"/>
    <col min="6858" max="6858" width="12.5546875" style="83" customWidth="1"/>
    <col min="6859" max="6859" width="12.77734375" style="83" bestFit="1" customWidth="1"/>
    <col min="6860" max="6860" width="12.21875" style="83" customWidth="1"/>
    <col min="6861" max="6861" width="28" style="83" customWidth="1"/>
    <col min="6862" max="6862" width="10.44140625" style="83" customWidth="1"/>
    <col min="6863" max="6887" width="9.21875" style="83"/>
    <col min="6888" max="6888" width="9" style="83" bestFit="1" customWidth="1"/>
    <col min="6889" max="6889" width="56" style="83" customWidth="1"/>
    <col min="6890" max="6890" width="6.44140625" style="83" customWidth="1"/>
    <col min="6891" max="6891" width="10.77734375" style="83" customWidth="1"/>
    <col min="6892" max="6892" width="13" style="83" bestFit="1" customWidth="1"/>
    <col min="6893" max="6893" width="14.77734375" style="83" bestFit="1" customWidth="1"/>
    <col min="6894" max="6894" width="4.44140625" style="83" customWidth="1"/>
    <col min="6895" max="6895" width="8.77734375" style="83" customWidth="1"/>
    <col min="6896" max="6896" width="8.77734375" style="83" bestFit="1" customWidth="1"/>
    <col min="6897" max="6897" width="11.5546875" style="83" customWidth="1"/>
    <col min="6898" max="6898" width="11.44140625" style="83" customWidth="1"/>
    <col min="6899" max="6899" width="7" style="83" bestFit="1" customWidth="1"/>
    <col min="6900" max="6900" width="8.77734375" style="83" bestFit="1" customWidth="1"/>
    <col min="6901" max="6901" width="15.21875" style="83" customWidth="1"/>
    <col min="6902" max="6903" width="12.5546875" style="83" bestFit="1" customWidth="1"/>
    <col min="6904" max="6904" width="11.5546875" style="83" bestFit="1" customWidth="1"/>
    <col min="6905" max="6905" width="10.5546875" style="83" bestFit="1" customWidth="1"/>
    <col min="6906" max="6906" width="14.21875" style="83" bestFit="1" customWidth="1"/>
    <col min="6907" max="6907" width="9.21875" style="83"/>
    <col min="6908" max="6908" width="11.77734375" style="83" bestFit="1" customWidth="1"/>
    <col min="6909" max="7100" width="9.21875" style="83"/>
    <col min="7101" max="7101" width="9" style="83" bestFit="1" customWidth="1"/>
    <col min="7102" max="7102" width="56" style="83" customWidth="1"/>
    <col min="7103" max="7103" width="6.44140625" style="83" customWidth="1"/>
    <col min="7104" max="7104" width="12.21875" style="83" bestFit="1" customWidth="1"/>
    <col min="7105" max="7105" width="13" style="83" bestFit="1" customWidth="1"/>
    <col min="7106" max="7106" width="14.77734375" style="83" bestFit="1" customWidth="1"/>
    <col min="7107" max="7107" width="16.21875" style="83" customWidth="1"/>
    <col min="7108" max="7108" width="13.77734375" style="83" customWidth="1"/>
    <col min="7109" max="7109" width="11.77734375" style="83" customWidth="1"/>
    <col min="7110" max="7110" width="13.5546875" style="83" customWidth="1"/>
    <col min="7111" max="7111" width="10.5546875" style="83" customWidth="1"/>
    <col min="7112" max="7112" width="11.77734375" style="83" bestFit="1" customWidth="1"/>
    <col min="7113" max="7113" width="14.77734375" style="83" bestFit="1" customWidth="1"/>
    <col min="7114" max="7114" width="12.5546875" style="83" customWidth="1"/>
    <col min="7115" max="7115" width="12.77734375" style="83" bestFit="1" customWidth="1"/>
    <col min="7116" max="7116" width="12.21875" style="83" customWidth="1"/>
    <col min="7117" max="7117" width="28" style="83" customWidth="1"/>
    <col min="7118" max="7118" width="10.44140625" style="83" customWidth="1"/>
    <col min="7119" max="7143" width="9.21875" style="83"/>
    <col min="7144" max="7144" width="9" style="83" bestFit="1" customWidth="1"/>
    <col min="7145" max="7145" width="56" style="83" customWidth="1"/>
    <col min="7146" max="7146" width="6.44140625" style="83" customWidth="1"/>
    <col min="7147" max="7147" width="10.77734375" style="83" customWidth="1"/>
    <col min="7148" max="7148" width="13" style="83" bestFit="1" customWidth="1"/>
    <col min="7149" max="7149" width="14.77734375" style="83" bestFit="1" customWidth="1"/>
    <col min="7150" max="7150" width="4.44140625" style="83" customWidth="1"/>
    <col min="7151" max="7151" width="8.77734375" style="83" customWidth="1"/>
    <col min="7152" max="7152" width="8.77734375" style="83" bestFit="1" customWidth="1"/>
    <col min="7153" max="7153" width="11.5546875" style="83" customWidth="1"/>
    <col min="7154" max="7154" width="11.44140625" style="83" customWidth="1"/>
    <col min="7155" max="7155" width="7" style="83" bestFit="1" customWidth="1"/>
    <col min="7156" max="7156" width="8.77734375" style="83" bestFit="1" customWidth="1"/>
    <col min="7157" max="7157" width="15.21875" style="83" customWidth="1"/>
    <col min="7158" max="7159" width="12.5546875" style="83" bestFit="1" customWidth="1"/>
    <col min="7160" max="7160" width="11.5546875" style="83" bestFit="1" customWidth="1"/>
    <col min="7161" max="7161" width="10.5546875" style="83" bestFit="1" customWidth="1"/>
    <col min="7162" max="7162" width="14.21875" style="83" bestFit="1" customWidth="1"/>
    <col min="7163" max="7163" width="9.21875" style="83"/>
    <col min="7164" max="7164" width="11.77734375" style="83" bestFit="1" customWidth="1"/>
    <col min="7165" max="7356" width="9.21875" style="83"/>
    <col min="7357" max="7357" width="9" style="83" bestFit="1" customWidth="1"/>
    <col min="7358" max="7358" width="56" style="83" customWidth="1"/>
    <col min="7359" max="7359" width="6.44140625" style="83" customWidth="1"/>
    <col min="7360" max="7360" width="12.21875" style="83" bestFit="1" customWidth="1"/>
    <col min="7361" max="7361" width="13" style="83" bestFit="1" customWidth="1"/>
    <col min="7362" max="7362" width="14.77734375" style="83" bestFit="1" customWidth="1"/>
    <col min="7363" max="7363" width="16.21875" style="83" customWidth="1"/>
    <col min="7364" max="7364" width="13.77734375" style="83" customWidth="1"/>
    <col min="7365" max="7365" width="11.77734375" style="83" customWidth="1"/>
    <col min="7366" max="7366" width="13.5546875" style="83" customWidth="1"/>
    <col min="7367" max="7367" width="10.5546875" style="83" customWidth="1"/>
    <col min="7368" max="7368" width="11.77734375" style="83" bestFit="1" customWidth="1"/>
    <col min="7369" max="7369" width="14.77734375" style="83" bestFit="1" customWidth="1"/>
    <col min="7370" max="7370" width="12.5546875" style="83" customWidth="1"/>
    <col min="7371" max="7371" width="12.77734375" style="83" bestFit="1" customWidth="1"/>
    <col min="7372" max="7372" width="12.21875" style="83" customWidth="1"/>
    <col min="7373" max="7373" width="28" style="83" customWidth="1"/>
    <col min="7374" max="7374" width="10.44140625" style="83" customWidth="1"/>
    <col min="7375" max="7399" width="9.21875" style="83"/>
    <col min="7400" max="7400" width="9" style="83" bestFit="1" customWidth="1"/>
    <col min="7401" max="7401" width="56" style="83" customWidth="1"/>
    <col min="7402" max="7402" width="6.44140625" style="83" customWidth="1"/>
    <col min="7403" max="7403" width="10.77734375" style="83" customWidth="1"/>
    <col min="7404" max="7404" width="13" style="83" bestFit="1" customWidth="1"/>
    <col min="7405" max="7405" width="14.77734375" style="83" bestFit="1" customWidth="1"/>
    <col min="7406" max="7406" width="4.44140625" style="83" customWidth="1"/>
    <col min="7407" max="7407" width="8.77734375" style="83" customWidth="1"/>
    <col min="7408" max="7408" width="8.77734375" style="83" bestFit="1" customWidth="1"/>
    <col min="7409" max="7409" width="11.5546875" style="83" customWidth="1"/>
    <col min="7410" max="7410" width="11.44140625" style="83" customWidth="1"/>
    <col min="7411" max="7411" width="7" style="83" bestFit="1" customWidth="1"/>
    <col min="7412" max="7412" width="8.77734375" style="83" bestFit="1" customWidth="1"/>
    <col min="7413" max="7413" width="15.21875" style="83" customWidth="1"/>
    <col min="7414" max="7415" width="12.5546875" style="83" bestFit="1" customWidth="1"/>
    <col min="7416" max="7416" width="11.5546875" style="83" bestFit="1" customWidth="1"/>
    <col min="7417" max="7417" width="10.5546875" style="83" bestFit="1" customWidth="1"/>
    <col min="7418" max="7418" width="14.21875" style="83" bestFit="1" customWidth="1"/>
    <col min="7419" max="7419" width="9.21875" style="83"/>
    <col min="7420" max="7420" width="11.77734375" style="83" bestFit="1" customWidth="1"/>
    <col min="7421" max="7612" width="9.21875" style="83"/>
    <col min="7613" max="7613" width="9" style="83" bestFit="1" customWidth="1"/>
    <col min="7614" max="7614" width="56" style="83" customWidth="1"/>
    <col min="7615" max="7615" width="6.44140625" style="83" customWidth="1"/>
    <col min="7616" max="7616" width="12.21875" style="83" bestFit="1" customWidth="1"/>
    <col min="7617" max="7617" width="13" style="83" bestFit="1" customWidth="1"/>
    <col min="7618" max="7618" width="14.77734375" style="83" bestFit="1" customWidth="1"/>
    <col min="7619" max="7619" width="16.21875" style="83" customWidth="1"/>
    <col min="7620" max="7620" width="13.77734375" style="83" customWidth="1"/>
    <col min="7621" max="7621" width="11.77734375" style="83" customWidth="1"/>
    <col min="7622" max="7622" width="13.5546875" style="83" customWidth="1"/>
    <col min="7623" max="7623" width="10.5546875" style="83" customWidth="1"/>
    <col min="7624" max="7624" width="11.77734375" style="83" bestFit="1" customWidth="1"/>
    <col min="7625" max="7625" width="14.77734375" style="83" bestFit="1" customWidth="1"/>
    <col min="7626" max="7626" width="12.5546875" style="83" customWidth="1"/>
    <col min="7627" max="7627" width="12.77734375" style="83" bestFit="1" customWidth="1"/>
    <col min="7628" max="7628" width="12.21875" style="83" customWidth="1"/>
    <col min="7629" max="7629" width="28" style="83" customWidth="1"/>
    <col min="7630" max="7630" width="10.44140625" style="83" customWidth="1"/>
    <col min="7631" max="7655" width="9.21875" style="83"/>
    <col min="7656" max="7656" width="9" style="83" bestFit="1" customWidth="1"/>
    <col min="7657" max="7657" width="56" style="83" customWidth="1"/>
    <col min="7658" max="7658" width="6.44140625" style="83" customWidth="1"/>
    <col min="7659" max="7659" width="10.77734375" style="83" customWidth="1"/>
    <col min="7660" max="7660" width="13" style="83" bestFit="1" customWidth="1"/>
    <col min="7661" max="7661" width="14.77734375" style="83" bestFit="1" customWidth="1"/>
    <col min="7662" max="7662" width="4.44140625" style="83" customWidth="1"/>
    <col min="7663" max="7663" width="8.77734375" style="83" customWidth="1"/>
    <col min="7664" max="7664" width="8.77734375" style="83" bestFit="1" customWidth="1"/>
    <col min="7665" max="7665" width="11.5546875" style="83" customWidth="1"/>
    <col min="7666" max="7666" width="11.44140625" style="83" customWidth="1"/>
    <col min="7667" max="7667" width="7" style="83" bestFit="1" customWidth="1"/>
    <col min="7668" max="7668" width="8.77734375" style="83" bestFit="1" customWidth="1"/>
    <col min="7669" max="7669" width="15.21875" style="83" customWidth="1"/>
    <col min="7670" max="7671" width="12.5546875" style="83" bestFit="1" customWidth="1"/>
    <col min="7672" max="7672" width="11.5546875" style="83" bestFit="1" customWidth="1"/>
    <col min="7673" max="7673" width="10.5546875" style="83" bestFit="1" customWidth="1"/>
    <col min="7674" max="7674" width="14.21875" style="83" bestFit="1" customWidth="1"/>
    <col min="7675" max="7675" width="9.21875" style="83"/>
    <col min="7676" max="7676" width="11.77734375" style="83" bestFit="1" customWidth="1"/>
    <col min="7677" max="7868" width="9.21875" style="83"/>
    <col min="7869" max="7869" width="9" style="83" bestFit="1" customWidth="1"/>
    <col min="7870" max="7870" width="56" style="83" customWidth="1"/>
    <col min="7871" max="7871" width="6.44140625" style="83" customWidth="1"/>
    <col min="7872" max="7872" width="12.21875" style="83" bestFit="1" customWidth="1"/>
    <col min="7873" max="7873" width="13" style="83" bestFit="1" customWidth="1"/>
    <col min="7874" max="7874" width="14.77734375" style="83" bestFit="1" customWidth="1"/>
    <col min="7875" max="7875" width="16.21875" style="83" customWidth="1"/>
    <col min="7876" max="7876" width="13.77734375" style="83" customWidth="1"/>
    <col min="7877" max="7877" width="11.77734375" style="83" customWidth="1"/>
    <col min="7878" max="7878" width="13.5546875" style="83" customWidth="1"/>
    <col min="7879" max="7879" width="10.5546875" style="83" customWidth="1"/>
    <col min="7880" max="7880" width="11.77734375" style="83" bestFit="1" customWidth="1"/>
    <col min="7881" max="7881" width="14.77734375" style="83" bestFit="1" customWidth="1"/>
    <col min="7882" max="7882" width="12.5546875" style="83" customWidth="1"/>
    <col min="7883" max="7883" width="12.77734375" style="83" bestFit="1" customWidth="1"/>
    <col min="7884" max="7884" width="12.21875" style="83" customWidth="1"/>
    <col min="7885" max="7885" width="28" style="83" customWidth="1"/>
    <col min="7886" max="7886" width="10.44140625" style="83" customWidth="1"/>
    <col min="7887" max="7911" width="9.21875" style="83"/>
    <col min="7912" max="7912" width="9" style="83" bestFit="1" customWidth="1"/>
    <col min="7913" max="7913" width="56" style="83" customWidth="1"/>
    <col min="7914" max="7914" width="6.44140625" style="83" customWidth="1"/>
    <col min="7915" max="7915" width="10.77734375" style="83" customWidth="1"/>
    <col min="7916" max="7916" width="13" style="83" bestFit="1" customWidth="1"/>
    <col min="7917" max="7917" width="14.77734375" style="83" bestFit="1" customWidth="1"/>
    <col min="7918" max="7918" width="4.44140625" style="83" customWidth="1"/>
    <col min="7919" max="7919" width="8.77734375" style="83" customWidth="1"/>
    <col min="7920" max="7920" width="8.77734375" style="83" bestFit="1" customWidth="1"/>
    <col min="7921" max="7921" width="11.5546875" style="83" customWidth="1"/>
    <col min="7922" max="7922" width="11.44140625" style="83" customWidth="1"/>
    <col min="7923" max="7923" width="7" style="83" bestFit="1" customWidth="1"/>
    <col min="7924" max="7924" width="8.77734375" style="83" bestFit="1" customWidth="1"/>
    <col min="7925" max="7925" width="15.21875" style="83" customWidth="1"/>
    <col min="7926" max="7927" width="12.5546875" style="83" bestFit="1" customWidth="1"/>
    <col min="7928" max="7928" width="11.5546875" style="83" bestFit="1" customWidth="1"/>
    <col min="7929" max="7929" width="10.5546875" style="83" bestFit="1" customWidth="1"/>
    <col min="7930" max="7930" width="14.21875" style="83" bestFit="1" customWidth="1"/>
    <col min="7931" max="7931" width="9.21875" style="83"/>
    <col min="7932" max="7932" width="11.77734375" style="83" bestFit="1" customWidth="1"/>
    <col min="7933" max="8124" width="9.21875" style="83"/>
    <col min="8125" max="8125" width="9" style="83" bestFit="1" customWidth="1"/>
    <col min="8126" max="8126" width="56" style="83" customWidth="1"/>
    <col min="8127" max="8127" width="6.44140625" style="83" customWidth="1"/>
    <col min="8128" max="8128" width="12.21875" style="83" bestFit="1" customWidth="1"/>
    <col min="8129" max="8129" width="13" style="83" bestFit="1" customWidth="1"/>
    <col min="8130" max="8130" width="14.77734375" style="83" bestFit="1" customWidth="1"/>
    <col min="8131" max="8131" width="16.21875" style="83" customWidth="1"/>
    <col min="8132" max="8132" width="13.77734375" style="83" customWidth="1"/>
    <col min="8133" max="8133" width="11.77734375" style="83" customWidth="1"/>
    <col min="8134" max="8134" width="13.5546875" style="83" customWidth="1"/>
    <col min="8135" max="8135" width="10.5546875" style="83" customWidth="1"/>
    <col min="8136" max="8136" width="11.77734375" style="83" bestFit="1" customWidth="1"/>
    <col min="8137" max="8137" width="14.77734375" style="83" bestFit="1" customWidth="1"/>
    <col min="8138" max="8138" width="12.5546875" style="83" customWidth="1"/>
    <col min="8139" max="8139" width="12.77734375" style="83" bestFit="1" customWidth="1"/>
    <col min="8140" max="8140" width="12.21875" style="83" customWidth="1"/>
    <col min="8141" max="8141" width="28" style="83" customWidth="1"/>
    <col min="8142" max="8142" width="10.44140625" style="83" customWidth="1"/>
    <col min="8143" max="8167" width="9.21875" style="83"/>
    <col min="8168" max="8168" width="9" style="83" bestFit="1" customWidth="1"/>
    <col min="8169" max="8169" width="56" style="83" customWidth="1"/>
    <col min="8170" max="8170" width="6.44140625" style="83" customWidth="1"/>
    <col min="8171" max="8171" width="10.77734375" style="83" customWidth="1"/>
    <col min="8172" max="8172" width="13" style="83" bestFit="1" customWidth="1"/>
    <col min="8173" max="8173" width="14.77734375" style="83" bestFit="1" customWidth="1"/>
    <col min="8174" max="8174" width="4.44140625" style="83" customWidth="1"/>
    <col min="8175" max="8175" width="8.77734375" style="83" customWidth="1"/>
    <col min="8176" max="8176" width="8.77734375" style="83" bestFit="1" customWidth="1"/>
    <col min="8177" max="8177" width="11.5546875" style="83" customWidth="1"/>
    <col min="8178" max="8178" width="11.44140625" style="83" customWidth="1"/>
    <col min="8179" max="8179" width="7" style="83" bestFit="1" customWidth="1"/>
    <col min="8180" max="8180" width="8.77734375" style="83" bestFit="1" customWidth="1"/>
    <col min="8181" max="8181" width="15.21875" style="83" customWidth="1"/>
    <col min="8182" max="8183" width="12.5546875" style="83" bestFit="1" customWidth="1"/>
    <col min="8184" max="8184" width="11.5546875" style="83" bestFit="1" customWidth="1"/>
    <col min="8185" max="8185" width="10.5546875" style="83" bestFit="1" customWidth="1"/>
    <col min="8186" max="8186" width="14.21875" style="83" bestFit="1" customWidth="1"/>
    <col min="8187" max="8187" width="9.21875" style="83"/>
    <col min="8188" max="8188" width="11.77734375" style="83" bestFit="1" customWidth="1"/>
    <col min="8189" max="8380" width="9.21875" style="83"/>
    <col min="8381" max="8381" width="9" style="83" bestFit="1" customWidth="1"/>
    <col min="8382" max="8382" width="56" style="83" customWidth="1"/>
    <col min="8383" max="8383" width="6.44140625" style="83" customWidth="1"/>
    <col min="8384" max="8384" width="12.21875" style="83" bestFit="1" customWidth="1"/>
    <col min="8385" max="8385" width="13" style="83" bestFit="1" customWidth="1"/>
    <col min="8386" max="8386" width="14.77734375" style="83" bestFit="1" customWidth="1"/>
    <col min="8387" max="8387" width="16.21875" style="83" customWidth="1"/>
    <col min="8388" max="8388" width="13.77734375" style="83" customWidth="1"/>
    <col min="8389" max="8389" width="11.77734375" style="83" customWidth="1"/>
    <col min="8390" max="8390" width="13.5546875" style="83" customWidth="1"/>
    <col min="8391" max="8391" width="10.5546875" style="83" customWidth="1"/>
    <col min="8392" max="8392" width="11.77734375" style="83" bestFit="1" customWidth="1"/>
    <col min="8393" max="8393" width="14.77734375" style="83" bestFit="1" customWidth="1"/>
    <col min="8394" max="8394" width="12.5546875" style="83" customWidth="1"/>
    <col min="8395" max="8395" width="12.77734375" style="83" bestFit="1" customWidth="1"/>
    <col min="8396" max="8396" width="12.21875" style="83" customWidth="1"/>
    <col min="8397" max="8397" width="28" style="83" customWidth="1"/>
    <col min="8398" max="8398" width="10.44140625" style="83" customWidth="1"/>
    <col min="8399" max="8423" width="9.21875" style="83"/>
    <col min="8424" max="8424" width="9" style="83" bestFit="1" customWidth="1"/>
    <col min="8425" max="8425" width="56" style="83" customWidth="1"/>
    <col min="8426" max="8426" width="6.44140625" style="83" customWidth="1"/>
    <col min="8427" max="8427" width="10.77734375" style="83" customWidth="1"/>
    <col min="8428" max="8428" width="13" style="83" bestFit="1" customWidth="1"/>
    <col min="8429" max="8429" width="14.77734375" style="83" bestFit="1" customWidth="1"/>
    <col min="8430" max="8430" width="4.44140625" style="83" customWidth="1"/>
    <col min="8431" max="8431" width="8.77734375" style="83" customWidth="1"/>
    <col min="8432" max="8432" width="8.77734375" style="83" bestFit="1" customWidth="1"/>
    <col min="8433" max="8433" width="11.5546875" style="83" customWidth="1"/>
    <col min="8434" max="8434" width="11.44140625" style="83" customWidth="1"/>
    <col min="8435" max="8435" width="7" style="83" bestFit="1" customWidth="1"/>
    <col min="8436" max="8436" width="8.77734375" style="83" bestFit="1" customWidth="1"/>
    <col min="8437" max="8437" width="15.21875" style="83" customWidth="1"/>
    <col min="8438" max="8439" width="12.5546875" style="83" bestFit="1" customWidth="1"/>
    <col min="8440" max="8440" width="11.5546875" style="83" bestFit="1" customWidth="1"/>
    <col min="8441" max="8441" width="10.5546875" style="83" bestFit="1" customWidth="1"/>
    <col min="8442" max="8442" width="14.21875" style="83" bestFit="1" customWidth="1"/>
    <col min="8443" max="8443" width="9.21875" style="83"/>
    <col min="8444" max="8444" width="11.77734375" style="83" bestFit="1" customWidth="1"/>
    <col min="8445" max="8636" width="9.21875" style="83"/>
    <col min="8637" max="8637" width="9" style="83" bestFit="1" customWidth="1"/>
    <col min="8638" max="8638" width="56" style="83" customWidth="1"/>
    <col min="8639" max="8639" width="6.44140625" style="83" customWidth="1"/>
    <col min="8640" max="8640" width="12.21875" style="83" bestFit="1" customWidth="1"/>
    <col min="8641" max="8641" width="13" style="83" bestFit="1" customWidth="1"/>
    <col min="8642" max="8642" width="14.77734375" style="83" bestFit="1" customWidth="1"/>
    <col min="8643" max="8643" width="16.21875" style="83" customWidth="1"/>
    <col min="8644" max="8644" width="13.77734375" style="83" customWidth="1"/>
    <col min="8645" max="8645" width="11.77734375" style="83" customWidth="1"/>
    <col min="8646" max="8646" width="13.5546875" style="83" customWidth="1"/>
    <col min="8647" max="8647" width="10.5546875" style="83" customWidth="1"/>
    <col min="8648" max="8648" width="11.77734375" style="83" bestFit="1" customWidth="1"/>
    <col min="8649" max="8649" width="14.77734375" style="83" bestFit="1" customWidth="1"/>
    <col min="8650" max="8650" width="12.5546875" style="83" customWidth="1"/>
    <col min="8651" max="8651" width="12.77734375" style="83" bestFit="1" customWidth="1"/>
    <col min="8652" max="8652" width="12.21875" style="83" customWidth="1"/>
    <col min="8653" max="8653" width="28" style="83" customWidth="1"/>
    <col min="8654" max="8654" width="10.44140625" style="83" customWidth="1"/>
    <col min="8655" max="8679" width="9.21875" style="83"/>
    <col min="8680" max="8680" width="9" style="83" bestFit="1" customWidth="1"/>
    <col min="8681" max="8681" width="56" style="83" customWidth="1"/>
    <col min="8682" max="8682" width="6.44140625" style="83" customWidth="1"/>
    <col min="8683" max="8683" width="10.77734375" style="83" customWidth="1"/>
    <col min="8684" max="8684" width="13" style="83" bestFit="1" customWidth="1"/>
    <col min="8685" max="8685" width="14.77734375" style="83" bestFit="1" customWidth="1"/>
    <col min="8686" max="8686" width="4.44140625" style="83" customWidth="1"/>
    <col min="8687" max="8687" width="8.77734375" style="83" customWidth="1"/>
    <col min="8688" max="8688" width="8.77734375" style="83" bestFit="1" customWidth="1"/>
    <col min="8689" max="8689" width="11.5546875" style="83" customWidth="1"/>
    <col min="8690" max="8690" width="11.44140625" style="83" customWidth="1"/>
    <col min="8691" max="8691" width="7" style="83" bestFit="1" customWidth="1"/>
    <col min="8692" max="8692" width="8.77734375" style="83" bestFit="1" customWidth="1"/>
    <col min="8693" max="8693" width="15.21875" style="83" customWidth="1"/>
    <col min="8694" max="8695" width="12.5546875" style="83" bestFit="1" customWidth="1"/>
    <col min="8696" max="8696" width="11.5546875" style="83" bestFit="1" customWidth="1"/>
    <col min="8697" max="8697" width="10.5546875" style="83" bestFit="1" customWidth="1"/>
    <col min="8698" max="8698" width="14.21875" style="83" bestFit="1" customWidth="1"/>
    <col min="8699" max="8699" width="9.21875" style="83"/>
    <col min="8700" max="8700" width="11.77734375" style="83" bestFit="1" customWidth="1"/>
    <col min="8701" max="8892" width="9.21875" style="83"/>
    <col min="8893" max="8893" width="9" style="83" bestFit="1" customWidth="1"/>
    <col min="8894" max="8894" width="56" style="83" customWidth="1"/>
    <col min="8895" max="8895" width="6.44140625" style="83" customWidth="1"/>
    <col min="8896" max="8896" width="12.21875" style="83" bestFit="1" customWidth="1"/>
    <col min="8897" max="8897" width="13" style="83" bestFit="1" customWidth="1"/>
    <col min="8898" max="8898" width="14.77734375" style="83" bestFit="1" customWidth="1"/>
    <col min="8899" max="8899" width="16.21875" style="83" customWidth="1"/>
    <col min="8900" max="8900" width="13.77734375" style="83" customWidth="1"/>
    <col min="8901" max="8901" width="11.77734375" style="83" customWidth="1"/>
    <col min="8902" max="8902" width="13.5546875" style="83" customWidth="1"/>
    <col min="8903" max="8903" width="10.5546875" style="83" customWidth="1"/>
    <col min="8904" max="8904" width="11.77734375" style="83" bestFit="1" customWidth="1"/>
    <col min="8905" max="8905" width="14.77734375" style="83" bestFit="1" customWidth="1"/>
    <col min="8906" max="8906" width="12.5546875" style="83" customWidth="1"/>
    <col min="8907" max="8907" width="12.77734375" style="83" bestFit="1" customWidth="1"/>
    <col min="8908" max="8908" width="12.21875" style="83" customWidth="1"/>
    <col min="8909" max="8909" width="28" style="83" customWidth="1"/>
    <col min="8910" max="8910" width="10.44140625" style="83" customWidth="1"/>
    <col min="8911" max="8935" width="9.21875" style="83"/>
    <col min="8936" max="8936" width="9" style="83" bestFit="1" customWidth="1"/>
    <col min="8937" max="8937" width="56" style="83" customWidth="1"/>
    <col min="8938" max="8938" width="6.44140625" style="83" customWidth="1"/>
    <col min="8939" max="8939" width="10.77734375" style="83" customWidth="1"/>
    <col min="8940" max="8940" width="13" style="83" bestFit="1" customWidth="1"/>
    <col min="8941" max="8941" width="14.77734375" style="83" bestFit="1" customWidth="1"/>
    <col min="8942" max="8942" width="4.44140625" style="83" customWidth="1"/>
    <col min="8943" max="8943" width="8.77734375" style="83" customWidth="1"/>
    <col min="8944" max="8944" width="8.77734375" style="83" bestFit="1" customWidth="1"/>
    <col min="8945" max="8945" width="11.5546875" style="83" customWidth="1"/>
    <col min="8946" max="8946" width="11.44140625" style="83" customWidth="1"/>
    <col min="8947" max="8947" width="7" style="83" bestFit="1" customWidth="1"/>
    <col min="8948" max="8948" width="8.77734375" style="83" bestFit="1" customWidth="1"/>
    <col min="8949" max="8949" width="15.21875" style="83" customWidth="1"/>
    <col min="8950" max="8951" width="12.5546875" style="83" bestFit="1" customWidth="1"/>
    <col min="8952" max="8952" width="11.5546875" style="83" bestFit="1" customWidth="1"/>
    <col min="8953" max="8953" width="10.5546875" style="83" bestFit="1" customWidth="1"/>
    <col min="8954" max="8954" width="14.21875" style="83" bestFit="1" customWidth="1"/>
    <col min="8955" max="8955" width="9.21875" style="83"/>
    <col min="8956" max="8956" width="11.77734375" style="83" bestFit="1" customWidth="1"/>
    <col min="8957" max="9148" width="9.21875" style="83"/>
    <col min="9149" max="9149" width="9" style="83" bestFit="1" customWidth="1"/>
    <col min="9150" max="9150" width="56" style="83" customWidth="1"/>
    <col min="9151" max="9151" width="6.44140625" style="83" customWidth="1"/>
    <col min="9152" max="9152" width="12.21875" style="83" bestFit="1" customWidth="1"/>
    <col min="9153" max="9153" width="13" style="83" bestFit="1" customWidth="1"/>
    <col min="9154" max="9154" width="14.77734375" style="83" bestFit="1" customWidth="1"/>
    <col min="9155" max="9155" width="16.21875" style="83" customWidth="1"/>
    <col min="9156" max="9156" width="13.77734375" style="83" customWidth="1"/>
    <col min="9157" max="9157" width="11.77734375" style="83" customWidth="1"/>
    <col min="9158" max="9158" width="13.5546875" style="83" customWidth="1"/>
    <col min="9159" max="9159" width="10.5546875" style="83" customWidth="1"/>
    <col min="9160" max="9160" width="11.77734375" style="83" bestFit="1" customWidth="1"/>
    <col min="9161" max="9161" width="14.77734375" style="83" bestFit="1" customWidth="1"/>
    <col min="9162" max="9162" width="12.5546875" style="83" customWidth="1"/>
    <col min="9163" max="9163" width="12.77734375" style="83" bestFit="1" customWidth="1"/>
    <col min="9164" max="9164" width="12.21875" style="83" customWidth="1"/>
    <col min="9165" max="9165" width="28" style="83" customWidth="1"/>
    <col min="9166" max="9166" width="10.44140625" style="83" customWidth="1"/>
    <col min="9167" max="9191" width="9.21875" style="83"/>
    <col min="9192" max="9192" width="9" style="83" bestFit="1" customWidth="1"/>
    <col min="9193" max="9193" width="56" style="83" customWidth="1"/>
    <col min="9194" max="9194" width="6.44140625" style="83" customWidth="1"/>
    <col min="9195" max="9195" width="10.77734375" style="83" customWidth="1"/>
    <col min="9196" max="9196" width="13" style="83" bestFit="1" customWidth="1"/>
    <col min="9197" max="9197" width="14.77734375" style="83" bestFit="1" customWidth="1"/>
    <col min="9198" max="9198" width="4.44140625" style="83" customWidth="1"/>
    <col min="9199" max="9199" width="8.77734375" style="83" customWidth="1"/>
    <col min="9200" max="9200" width="8.77734375" style="83" bestFit="1" customWidth="1"/>
    <col min="9201" max="9201" width="11.5546875" style="83" customWidth="1"/>
    <col min="9202" max="9202" width="11.44140625" style="83" customWidth="1"/>
    <col min="9203" max="9203" width="7" style="83" bestFit="1" customWidth="1"/>
    <col min="9204" max="9204" width="8.77734375" style="83" bestFit="1" customWidth="1"/>
    <col min="9205" max="9205" width="15.21875" style="83" customWidth="1"/>
    <col min="9206" max="9207" width="12.5546875" style="83" bestFit="1" customWidth="1"/>
    <col min="9208" max="9208" width="11.5546875" style="83" bestFit="1" customWidth="1"/>
    <col min="9209" max="9209" width="10.5546875" style="83" bestFit="1" customWidth="1"/>
    <col min="9210" max="9210" width="14.21875" style="83" bestFit="1" customWidth="1"/>
    <col min="9211" max="9211" width="9.21875" style="83"/>
    <col min="9212" max="9212" width="11.77734375" style="83" bestFit="1" customWidth="1"/>
    <col min="9213" max="9404" width="9.21875" style="83"/>
    <col min="9405" max="9405" width="9" style="83" bestFit="1" customWidth="1"/>
    <col min="9406" max="9406" width="56" style="83" customWidth="1"/>
    <col min="9407" max="9407" width="6.44140625" style="83" customWidth="1"/>
    <col min="9408" max="9408" width="12.21875" style="83" bestFit="1" customWidth="1"/>
    <col min="9409" max="9409" width="13" style="83" bestFit="1" customWidth="1"/>
    <col min="9410" max="9410" width="14.77734375" style="83" bestFit="1" customWidth="1"/>
    <col min="9411" max="9411" width="16.21875" style="83" customWidth="1"/>
    <col min="9412" max="9412" width="13.77734375" style="83" customWidth="1"/>
    <col min="9413" max="9413" width="11.77734375" style="83" customWidth="1"/>
    <col min="9414" max="9414" width="13.5546875" style="83" customWidth="1"/>
    <col min="9415" max="9415" width="10.5546875" style="83" customWidth="1"/>
    <col min="9416" max="9416" width="11.77734375" style="83" bestFit="1" customWidth="1"/>
    <col min="9417" max="9417" width="14.77734375" style="83" bestFit="1" customWidth="1"/>
    <col min="9418" max="9418" width="12.5546875" style="83" customWidth="1"/>
    <col min="9419" max="9419" width="12.77734375" style="83" bestFit="1" customWidth="1"/>
    <col min="9420" max="9420" width="12.21875" style="83" customWidth="1"/>
    <col min="9421" max="9421" width="28" style="83" customWidth="1"/>
    <col min="9422" max="9422" width="10.44140625" style="83" customWidth="1"/>
    <col min="9423" max="9447" width="9.21875" style="83"/>
    <col min="9448" max="9448" width="9" style="83" bestFit="1" customWidth="1"/>
    <col min="9449" max="9449" width="56" style="83" customWidth="1"/>
    <col min="9450" max="9450" width="6.44140625" style="83" customWidth="1"/>
    <col min="9451" max="9451" width="10.77734375" style="83" customWidth="1"/>
    <col min="9452" max="9452" width="13" style="83" bestFit="1" customWidth="1"/>
    <col min="9453" max="9453" width="14.77734375" style="83" bestFit="1" customWidth="1"/>
    <col min="9454" max="9454" width="4.44140625" style="83" customWidth="1"/>
    <col min="9455" max="9455" width="8.77734375" style="83" customWidth="1"/>
    <col min="9456" max="9456" width="8.77734375" style="83" bestFit="1" customWidth="1"/>
    <col min="9457" max="9457" width="11.5546875" style="83" customWidth="1"/>
    <col min="9458" max="9458" width="11.44140625" style="83" customWidth="1"/>
    <col min="9459" max="9459" width="7" style="83" bestFit="1" customWidth="1"/>
    <col min="9460" max="9460" width="8.77734375" style="83" bestFit="1" customWidth="1"/>
    <col min="9461" max="9461" width="15.21875" style="83" customWidth="1"/>
    <col min="9462" max="9463" width="12.5546875" style="83" bestFit="1" customWidth="1"/>
    <col min="9464" max="9464" width="11.5546875" style="83" bestFit="1" customWidth="1"/>
    <col min="9465" max="9465" width="10.5546875" style="83" bestFit="1" customWidth="1"/>
    <col min="9466" max="9466" width="14.21875" style="83" bestFit="1" customWidth="1"/>
    <col min="9467" max="9467" width="9.21875" style="83"/>
    <col min="9468" max="9468" width="11.77734375" style="83" bestFit="1" customWidth="1"/>
    <col min="9469" max="9660" width="9.21875" style="83"/>
    <col min="9661" max="9661" width="9" style="83" bestFit="1" customWidth="1"/>
    <col min="9662" max="9662" width="56" style="83" customWidth="1"/>
    <col min="9663" max="9663" width="6.44140625" style="83" customWidth="1"/>
    <col min="9664" max="9664" width="12.21875" style="83" bestFit="1" customWidth="1"/>
    <col min="9665" max="9665" width="13" style="83" bestFit="1" customWidth="1"/>
    <col min="9666" max="9666" width="14.77734375" style="83" bestFit="1" customWidth="1"/>
    <col min="9667" max="9667" width="16.21875" style="83" customWidth="1"/>
    <col min="9668" max="9668" width="13.77734375" style="83" customWidth="1"/>
    <col min="9669" max="9669" width="11.77734375" style="83" customWidth="1"/>
    <col min="9670" max="9670" width="13.5546875" style="83" customWidth="1"/>
    <col min="9671" max="9671" width="10.5546875" style="83" customWidth="1"/>
    <col min="9672" max="9672" width="11.77734375" style="83" bestFit="1" customWidth="1"/>
    <col min="9673" max="9673" width="14.77734375" style="83" bestFit="1" customWidth="1"/>
    <col min="9674" max="9674" width="12.5546875" style="83" customWidth="1"/>
    <col min="9675" max="9675" width="12.77734375" style="83" bestFit="1" customWidth="1"/>
    <col min="9676" max="9676" width="12.21875" style="83" customWidth="1"/>
    <col min="9677" max="9677" width="28" style="83" customWidth="1"/>
    <col min="9678" max="9678" width="10.44140625" style="83" customWidth="1"/>
    <col min="9679" max="9703" width="9.21875" style="83"/>
    <col min="9704" max="9704" width="9" style="83" bestFit="1" customWidth="1"/>
    <col min="9705" max="9705" width="56" style="83" customWidth="1"/>
    <col min="9706" max="9706" width="6.44140625" style="83" customWidth="1"/>
    <col min="9707" max="9707" width="10.77734375" style="83" customWidth="1"/>
    <col min="9708" max="9708" width="13" style="83" bestFit="1" customWidth="1"/>
    <col min="9709" max="9709" width="14.77734375" style="83" bestFit="1" customWidth="1"/>
    <col min="9710" max="9710" width="4.44140625" style="83" customWidth="1"/>
    <col min="9711" max="9711" width="8.77734375" style="83" customWidth="1"/>
    <col min="9712" max="9712" width="8.77734375" style="83" bestFit="1" customWidth="1"/>
    <col min="9713" max="9713" width="11.5546875" style="83" customWidth="1"/>
    <col min="9714" max="9714" width="11.44140625" style="83" customWidth="1"/>
    <col min="9715" max="9715" width="7" style="83" bestFit="1" customWidth="1"/>
    <col min="9716" max="9716" width="8.77734375" style="83" bestFit="1" customWidth="1"/>
    <col min="9717" max="9717" width="15.21875" style="83" customWidth="1"/>
    <col min="9718" max="9719" width="12.5546875" style="83" bestFit="1" customWidth="1"/>
    <col min="9720" max="9720" width="11.5546875" style="83" bestFit="1" customWidth="1"/>
    <col min="9721" max="9721" width="10.5546875" style="83" bestFit="1" customWidth="1"/>
    <col min="9722" max="9722" width="14.21875" style="83" bestFit="1" customWidth="1"/>
    <col min="9723" max="9723" width="9.21875" style="83"/>
    <col min="9724" max="9724" width="11.77734375" style="83" bestFit="1" customWidth="1"/>
    <col min="9725" max="9916" width="9.21875" style="83"/>
    <col min="9917" max="9917" width="9" style="83" bestFit="1" customWidth="1"/>
    <col min="9918" max="9918" width="56" style="83" customWidth="1"/>
    <col min="9919" max="9919" width="6.44140625" style="83" customWidth="1"/>
    <col min="9920" max="9920" width="12.21875" style="83" bestFit="1" customWidth="1"/>
    <col min="9921" max="9921" width="13" style="83" bestFit="1" customWidth="1"/>
    <col min="9922" max="9922" width="14.77734375" style="83" bestFit="1" customWidth="1"/>
    <col min="9923" max="9923" width="16.21875" style="83" customWidth="1"/>
    <col min="9924" max="9924" width="13.77734375" style="83" customWidth="1"/>
    <col min="9925" max="9925" width="11.77734375" style="83" customWidth="1"/>
    <col min="9926" max="9926" width="13.5546875" style="83" customWidth="1"/>
    <col min="9927" max="9927" width="10.5546875" style="83" customWidth="1"/>
    <col min="9928" max="9928" width="11.77734375" style="83" bestFit="1" customWidth="1"/>
    <col min="9929" max="9929" width="14.77734375" style="83" bestFit="1" customWidth="1"/>
    <col min="9930" max="9930" width="12.5546875" style="83" customWidth="1"/>
    <col min="9931" max="9931" width="12.77734375" style="83" bestFit="1" customWidth="1"/>
    <col min="9932" max="9932" width="12.21875" style="83" customWidth="1"/>
    <col min="9933" max="9933" width="28" style="83" customWidth="1"/>
    <col min="9934" max="9934" width="10.44140625" style="83" customWidth="1"/>
    <col min="9935" max="9959" width="9.21875" style="83"/>
    <col min="9960" max="9960" width="9" style="83" bestFit="1" customWidth="1"/>
    <col min="9961" max="9961" width="56" style="83" customWidth="1"/>
    <col min="9962" max="9962" width="6.44140625" style="83" customWidth="1"/>
    <col min="9963" max="9963" width="10.77734375" style="83" customWidth="1"/>
    <col min="9964" max="9964" width="13" style="83" bestFit="1" customWidth="1"/>
    <col min="9965" max="9965" width="14.77734375" style="83" bestFit="1" customWidth="1"/>
    <col min="9966" max="9966" width="4.44140625" style="83" customWidth="1"/>
    <col min="9967" max="9967" width="8.77734375" style="83" customWidth="1"/>
    <col min="9968" max="9968" width="8.77734375" style="83" bestFit="1" customWidth="1"/>
    <col min="9969" max="9969" width="11.5546875" style="83" customWidth="1"/>
    <col min="9970" max="9970" width="11.44140625" style="83" customWidth="1"/>
    <col min="9971" max="9971" width="7" style="83" bestFit="1" customWidth="1"/>
    <col min="9972" max="9972" width="8.77734375" style="83" bestFit="1" customWidth="1"/>
    <col min="9973" max="9973" width="15.21875" style="83" customWidth="1"/>
    <col min="9974" max="9975" width="12.5546875" style="83" bestFit="1" customWidth="1"/>
    <col min="9976" max="9976" width="11.5546875" style="83" bestFit="1" customWidth="1"/>
    <col min="9977" max="9977" width="10.5546875" style="83" bestFit="1" customWidth="1"/>
    <col min="9978" max="9978" width="14.21875" style="83" bestFit="1" customWidth="1"/>
    <col min="9979" max="9979" width="9.21875" style="83"/>
    <col min="9980" max="9980" width="11.77734375" style="83" bestFit="1" customWidth="1"/>
    <col min="9981" max="10172" width="9.21875" style="83"/>
    <col min="10173" max="10173" width="9" style="83" bestFit="1" customWidth="1"/>
    <col min="10174" max="10174" width="56" style="83" customWidth="1"/>
    <col min="10175" max="10175" width="6.44140625" style="83" customWidth="1"/>
    <col min="10176" max="10176" width="12.21875" style="83" bestFit="1" customWidth="1"/>
    <col min="10177" max="10177" width="13" style="83" bestFit="1" customWidth="1"/>
    <col min="10178" max="10178" width="14.77734375" style="83" bestFit="1" customWidth="1"/>
    <col min="10179" max="10179" width="16.21875" style="83" customWidth="1"/>
    <col min="10180" max="10180" width="13.77734375" style="83" customWidth="1"/>
    <col min="10181" max="10181" width="11.77734375" style="83" customWidth="1"/>
    <col min="10182" max="10182" width="13.5546875" style="83" customWidth="1"/>
    <col min="10183" max="10183" width="10.5546875" style="83" customWidth="1"/>
    <col min="10184" max="10184" width="11.77734375" style="83" bestFit="1" customWidth="1"/>
    <col min="10185" max="10185" width="14.77734375" style="83" bestFit="1" customWidth="1"/>
    <col min="10186" max="10186" width="12.5546875" style="83" customWidth="1"/>
    <col min="10187" max="10187" width="12.77734375" style="83" bestFit="1" customWidth="1"/>
    <col min="10188" max="10188" width="12.21875" style="83" customWidth="1"/>
    <col min="10189" max="10189" width="28" style="83" customWidth="1"/>
    <col min="10190" max="10190" width="10.44140625" style="83" customWidth="1"/>
    <col min="10191" max="10215" width="9.21875" style="83"/>
    <col min="10216" max="10216" width="9" style="83" bestFit="1" customWidth="1"/>
    <col min="10217" max="10217" width="56" style="83" customWidth="1"/>
    <col min="10218" max="10218" width="6.44140625" style="83" customWidth="1"/>
    <col min="10219" max="10219" width="10.77734375" style="83" customWidth="1"/>
    <col min="10220" max="10220" width="13" style="83" bestFit="1" customWidth="1"/>
    <col min="10221" max="10221" width="14.77734375" style="83" bestFit="1" customWidth="1"/>
    <col min="10222" max="10222" width="4.44140625" style="83" customWidth="1"/>
    <col min="10223" max="10223" width="8.77734375" style="83" customWidth="1"/>
    <col min="10224" max="10224" width="8.77734375" style="83" bestFit="1" customWidth="1"/>
    <col min="10225" max="10225" width="11.5546875" style="83" customWidth="1"/>
    <col min="10226" max="10226" width="11.44140625" style="83" customWidth="1"/>
    <col min="10227" max="10227" width="7" style="83" bestFit="1" customWidth="1"/>
    <col min="10228" max="10228" width="8.77734375" style="83" bestFit="1" customWidth="1"/>
    <col min="10229" max="10229" width="15.21875" style="83" customWidth="1"/>
    <col min="10230" max="10231" width="12.5546875" style="83" bestFit="1" customWidth="1"/>
    <col min="10232" max="10232" width="11.5546875" style="83" bestFit="1" customWidth="1"/>
    <col min="10233" max="10233" width="10.5546875" style="83" bestFit="1" customWidth="1"/>
    <col min="10234" max="10234" width="14.21875" style="83" bestFit="1" customWidth="1"/>
    <col min="10235" max="10235" width="9.21875" style="83"/>
    <col min="10236" max="10236" width="11.77734375" style="83" bestFit="1" customWidth="1"/>
    <col min="10237" max="10428" width="9.21875" style="83"/>
    <col min="10429" max="10429" width="9" style="83" bestFit="1" customWidth="1"/>
    <col min="10430" max="10430" width="56" style="83" customWidth="1"/>
    <col min="10431" max="10431" width="6.44140625" style="83" customWidth="1"/>
    <col min="10432" max="10432" width="12.21875" style="83" bestFit="1" customWidth="1"/>
    <col min="10433" max="10433" width="13" style="83" bestFit="1" customWidth="1"/>
    <col min="10434" max="10434" width="14.77734375" style="83" bestFit="1" customWidth="1"/>
    <col min="10435" max="10435" width="16.21875" style="83" customWidth="1"/>
    <col min="10436" max="10436" width="13.77734375" style="83" customWidth="1"/>
    <col min="10437" max="10437" width="11.77734375" style="83" customWidth="1"/>
    <col min="10438" max="10438" width="13.5546875" style="83" customWidth="1"/>
    <col min="10439" max="10439" width="10.5546875" style="83" customWidth="1"/>
    <col min="10440" max="10440" width="11.77734375" style="83" bestFit="1" customWidth="1"/>
    <col min="10441" max="10441" width="14.77734375" style="83" bestFit="1" customWidth="1"/>
    <col min="10442" max="10442" width="12.5546875" style="83" customWidth="1"/>
    <col min="10443" max="10443" width="12.77734375" style="83" bestFit="1" customWidth="1"/>
    <col min="10444" max="10444" width="12.21875" style="83" customWidth="1"/>
    <col min="10445" max="10445" width="28" style="83" customWidth="1"/>
    <col min="10446" max="10446" width="10.44140625" style="83" customWidth="1"/>
    <col min="10447" max="10471" width="9.21875" style="83"/>
    <col min="10472" max="10472" width="9" style="83" bestFit="1" customWidth="1"/>
    <col min="10473" max="10473" width="56" style="83" customWidth="1"/>
    <col min="10474" max="10474" width="6.44140625" style="83" customWidth="1"/>
    <col min="10475" max="10475" width="10.77734375" style="83" customWidth="1"/>
    <col min="10476" max="10476" width="13" style="83" bestFit="1" customWidth="1"/>
    <col min="10477" max="10477" width="14.77734375" style="83" bestFit="1" customWidth="1"/>
    <col min="10478" max="10478" width="4.44140625" style="83" customWidth="1"/>
    <col min="10479" max="10479" width="8.77734375" style="83" customWidth="1"/>
    <col min="10480" max="10480" width="8.77734375" style="83" bestFit="1" customWidth="1"/>
    <col min="10481" max="10481" width="11.5546875" style="83" customWidth="1"/>
    <col min="10482" max="10482" width="11.44140625" style="83" customWidth="1"/>
    <col min="10483" max="10483" width="7" style="83" bestFit="1" customWidth="1"/>
    <col min="10484" max="10484" width="8.77734375" style="83" bestFit="1" customWidth="1"/>
    <col min="10485" max="10485" width="15.21875" style="83" customWidth="1"/>
    <col min="10486" max="10487" width="12.5546875" style="83" bestFit="1" customWidth="1"/>
    <col min="10488" max="10488" width="11.5546875" style="83" bestFit="1" customWidth="1"/>
    <col min="10489" max="10489" width="10.5546875" style="83" bestFit="1" customWidth="1"/>
    <col min="10490" max="10490" width="14.21875" style="83" bestFit="1" customWidth="1"/>
    <col min="10491" max="10491" width="9.21875" style="83"/>
    <col min="10492" max="10492" width="11.77734375" style="83" bestFit="1" customWidth="1"/>
    <col min="10493" max="10684" width="9.21875" style="83"/>
    <col min="10685" max="10685" width="9" style="83" bestFit="1" customWidth="1"/>
    <col min="10686" max="10686" width="56" style="83" customWidth="1"/>
    <col min="10687" max="10687" width="6.44140625" style="83" customWidth="1"/>
    <col min="10688" max="10688" width="12.21875" style="83" bestFit="1" customWidth="1"/>
    <col min="10689" max="10689" width="13" style="83" bestFit="1" customWidth="1"/>
    <col min="10690" max="10690" width="14.77734375" style="83" bestFit="1" customWidth="1"/>
    <col min="10691" max="10691" width="16.21875" style="83" customWidth="1"/>
    <col min="10692" max="10692" width="13.77734375" style="83" customWidth="1"/>
    <col min="10693" max="10693" width="11.77734375" style="83" customWidth="1"/>
    <col min="10694" max="10694" width="13.5546875" style="83" customWidth="1"/>
    <col min="10695" max="10695" width="10.5546875" style="83" customWidth="1"/>
    <col min="10696" max="10696" width="11.77734375" style="83" bestFit="1" customWidth="1"/>
    <col min="10697" max="10697" width="14.77734375" style="83" bestFit="1" customWidth="1"/>
    <col min="10698" max="10698" width="12.5546875" style="83" customWidth="1"/>
    <col min="10699" max="10699" width="12.77734375" style="83" bestFit="1" customWidth="1"/>
    <col min="10700" max="10700" width="12.21875" style="83" customWidth="1"/>
    <col min="10701" max="10701" width="28" style="83" customWidth="1"/>
    <col min="10702" max="10702" width="10.44140625" style="83" customWidth="1"/>
    <col min="10703" max="10727" width="9.21875" style="83"/>
    <col min="10728" max="10728" width="9" style="83" bestFit="1" customWidth="1"/>
    <col min="10729" max="10729" width="56" style="83" customWidth="1"/>
    <col min="10730" max="10730" width="6.44140625" style="83" customWidth="1"/>
    <col min="10731" max="10731" width="10.77734375" style="83" customWidth="1"/>
    <col min="10732" max="10732" width="13" style="83" bestFit="1" customWidth="1"/>
    <col min="10733" max="10733" width="14.77734375" style="83" bestFit="1" customWidth="1"/>
    <col min="10734" max="10734" width="4.44140625" style="83" customWidth="1"/>
    <col min="10735" max="10735" width="8.77734375" style="83" customWidth="1"/>
    <col min="10736" max="10736" width="8.77734375" style="83" bestFit="1" customWidth="1"/>
    <col min="10737" max="10737" width="11.5546875" style="83" customWidth="1"/>
    <col min="10738" max="10738" width="11.44140625" style="83" customWidth="1"/>
    <col min="10739" max="10739" width="7" style="83" bestFit="1" customWidth="1"/>
    <col min="10740" max="10740" width="8.77734375" style="83" bestFit="1" customWidth="1"/>
    <col min="10741" max="10741" width="15.21875" style="83" customWidth="1"/>
    <col min="10742" max="10743" width="12.5546875" style="83" bestFit="1" customWidth="1"/>
    <col min="10744" max="10744" width="11.5546875" style="83" bestFit="1" customWidth="1"/>
    <col min="10745" max="10745" width="10.5546875" style="83" bestFit="1" customWidth="1"/>
    <col min="10746" max="10746" width="14.21875" style="83" bestFit="1" customWidth="1"/>
    <col min="10747" max="10747" width="9.21875" style="83"/>
    <col min="10748" max="10748" width="11.77734375" style="83" bestFit="1" customWidth="1"/>
    <col min="10749" max="10940" width="9.21875" style="83"/>
    <col min="10941" max="10941" width="9" style="83" bestFit="1" customWidth="1"/>
    <col min="10942" max="10942" width="56" style="83" customWidth="1"/>
    <col min="10943" max="10943" width="6.44140625" style="83" customWidth="1"/>
    <col min="10944" max="10944" width="12.21875" style="83" bestFit="1" customWidth="1"/>
    <col min="10945" max="10945" width="13" style="83" bestFit="1" customWidth="1"/>
    <col min="10946" max="10946" width="14.77734375" style="83" bestFit="1" customWidth="1"/>
    <col min="10947" max="10947" width="16.21875" style="83" customWidth="1"/>
    <col min="10948" max="10948" width="13.77734375" style="83" customWidth="1"/>
    <col min="10949" max="10949" width="11.77734375" style="83" customWidth="1"/>
    <col min="10950" max="10950" width="13.5546875" style="83" customWidth="1"/>
    <col min="10951" max="10951" width="10.5546875" style="83" customWidth="1"/>
    <col min="10952" max="10952" width="11.77734375" style="83" bestFit="1" customWidth="1"/>
    <col min="10953" max="10953" width="14.77734375" style="83" bestFit="1" customWidth="1"/>
    <col min="10954" max="10954" width="12.5546875" style="83" customWidth="1"/>
    <col min="10955" max="10955" width="12.77734375" style="83" bestFit="1" customWidth="1"/>
    <col min="10956" max="10956" width="12.21875" style="83" customWidth="1"/>
    <col min="10957" max="10957" width="28" style="83" customWidth="1"/>
    <col min="10958" max="10958" width="10.44140625" style="83" customWidth="1"/>
    <col min="10959" max="10983" width="9.21875" style="83"/>
    <col min="10984" max="10984" width="9" style="83" bestFit="1" customWidth="1"/>
    <col min="10985" max="10985" width="56" style="83" customWidth="1"/>
    <col min="10986" max="10986" width="6.44140625" style="83" customWidth="1"/>
    <col min="10987" max="10987" width="10.77734375" style="83" customWidth="1"/>
    <col min="10988" max="10988" width="13" style="83" bestFit="1" customWidth="1"/>
    <col min="10989" max="10989" width="14.77734375" style="83" bestFit="1" customWidth="1"/>
    <col min="10990" max="10990" width="4.44140625" style="83" customWidth="1"/>
    <col min="10991" max="10991" width="8.77734375" style="83" customWidth="1"/>
    <col min="10992" max="10992" width="8.77734375" style="83" bestFit="1" customWidth="1"/>
    <col min="10993" max="10993" width="11.5546875" style="83" customWidth="1"/>
    <col min="10994" max="10994" width="11.44140625" style="83" customWidth="1"/>
    <col min="10995" max="10995" width="7" style="83" bestFit="1" customWidth="1"/>
    <col min="10996" max="10996" width="8.77734375" style="83" bestFit="1" customWidth="1"/>
    <col min="10997" max="10997" width="15.21875" style="83" customWidth="1"/>
    <col min="10998" max="10999" width="12.5546875" style="83" bestFit="1" customWidth="1"/>
    <col min="11000" max="11000" width="11.5546875" style="83" bestFit="1" customWidth="1"/>
    <col min="11001" max="11001" width="10.5546875" style="83" bestFit="1" customWidth="1"/>
    <col min="11002" max="11002" width="14.21875" style="83" bestFit="1" customWidth="1"/>
    <col min="11003" max="11003" width="9.21875" style="83"/>
    <col min="11004" max="11004" width="11.77734375" style="83" bestFit="1" customWidth="1"/>
    <col min="11005" max="11196" width="9.21875" style="83"/>
    <col min="11197" max="11197" width="9" style="83" bestFit="1" customWidth="1"/>
    <col min="11198" max="11198" width="56" style="83" customWidth="1"/>
    <col min="11199" max="11199" width="6.44140625" style="83" customWidth="1"/>
    <col min="11200" max="11200" width="12.21875" style="83" bestFit="1" customWidth="1"/>
    <col min="11201" max="11201" width="13" style="83" bestFit="1" customWidth="1"/>
    <col min="11202" max="11202" width="14.77734375" style="83" bestFit="1" customWidth="1"/>
    <col min="11203" max="11203" width="16.21875" style="83" customWidth="1"/>
    <col min="11204" max="11204" width="13.77734375" style="83" customWidth="1"/>
    <col min="11205" max="11205" width="11.77734375" style="83" customWidth="1"/>
    <col min="11206" max="11206" width="13.5546875" style="83" customWidth="1"/>
    <col min="11207" max="11207" width="10.5546875" style="83" customWidth="1"/>
    <col min="11208" max="11208" width="11.77734375" style="83" bestFit="1" customWidth="1"/>
    <col min="11209" max="11209" width="14.77734375" style="83" bestFit="1" customWidth="1"/>
    <col min="11210" max="11210" width="12.5546875" style="83" customWidth="1"/>
    <col min="11211" max="11211" width="12.77734375" style="83" bestFit="1" customWidth="1"/>
    <col min="11212" max="11212" width="12.21875" style="83" customWidth="1"/>
    <col min="11213" max="11213" width="28" style="83" customWidth="1"/>
    <col min="11214" max="11214" width="10.44140625" style="83" customWidth="1"/>
    <col min="11215" max="11239" width="9.21875" style="83"/>
    <col min="11240" max="11240" width="9" style="83" bestFit="1" customWidth="1"/>
    <col min="11241" max="11241" width="56" style="83" customWidth="1"/>
    <col min="11242" max="11242" width="6.44140625" style="83" customWidth="1"/>
    <col min="11243" max="11243" width="10.77734375" style="83" customWidth="1"/>
    <col min="11244" max="11244" width="13" style="83" bestFit="1" customWidth="1"/>
    <col min="11245" max="11245" width="14.77734375" style="83" bestFit="1" customWidth="1"/>
    <col min="11246" max="11246" width="4.44140625" style="83" customWidth="1"/>
    <col min="11247" max="11247" width="8.77734375" style="83" customWidth="1"/>
    <col min="11248" max="11248" width="8.77734375" style="83" bestFit="1" customWidth="1"/>
    <col min="11249" max="11249" width="11.5546875" style="83" customWidth="1"/>
    <col min="11250" max="11250" width="11.44140625" style="83" customWidth="1"/>
    <col min="11251" max="11251" width="7" style="83" bestFit="1" customWidth="1"/>
    <col min="11252" max="11252" width="8.77734375" style="83" bestFit="1" customWidth="1"/>
    <col min="11253" max="11253" width="15.21875" style="83" customWidth="1"/>
    <col min="11254" max="11255" width="12.5546875" style="83" bestFit="1" customWidth="1"/>
    <col min="11256" max="11256" width="11.5546875" style="83" bestFit="1" customWidth="1"/>
    <col min="11257" max="11257" width="10.5546875" style="83" bestFit="1" customWidth="1"/>
    <col min="11258" max="11258" width="14.21875" style="83" bestFit="1" customWidth="1"/>
    <col min="11259" max="11259" width="9.21875" style="83"/>
    <col min="11260" max="11260" width="11.77734375" style="83" bestFit="1" customWidth="1"/>
    <col min="11261" max="11452" width="9.21875" style="83"/>
    <col min="11453" max="11453" width="9" style="83" bestFit="1" customWidth="1"/>
    <col min="11454" max="11454" width="56" style="83" customWidth="1"/>
    <col min="11455" max="11455" width="6.44140625" style="83" customWidth="1"/>
    <col min="11456" max="11456" width="12.21875" style="83" bestFit="1" customWidth="1"/>
    <col min="11457" max="11457" width="13" style="83" bestFit="1" customWidth="1"/>
    <col min="11458" max="11458" width="14.77734375" style="83" bestFit="1" customWidth="1"/>
    <col min="11459" max="11459" width="16.21875" style="83" customWidth="1"/>
    <col min="11460" max="11460" width="13.77734375" style="83" customWidth="1"/>
    <col min="11461" max="11461" width="11.77734375" style="83" customWidth="1"/>
    <col min="11462" max="11462" width="13.5546875" style="83" customWidth="1"/>
    <col min="11463" max="11463" width="10.5546875" style="83" customWidth="1"/>
    <col min="11464" max="11464" width="11.77734375" style="83" bestFit="1" customWidth="1"/>
    <col min="11465" max="11465" width="14.77734375" style="83" bestFit="1" customWidth="1"/>
    <col min="11466" max="11466" width="12.5546875" style="83" customWidth="1"/>
    <col min="11467" max="11467" width="12.77734375" style="83" bestFit="1" customWidth="1"/>
    <col min="11468" max="11468" width="12.21875" style="83" customWidth="1"/>
    <col min="11469" max="11469" width="28" style="83" customWidth="1"/>
    <col min="11470" max="11470" width="10.44140625" style="83" customWidth="1"/>
    <col min="11471" max="11495" width="9.21875" style="83"/>
    <col min="11496" max="11496" width="9" style="83" bestFit="1" customWidth="1"/>
    <col min="11497" max="11497" width="56" style="83" customWidth="1"/>
    <col min="11498" max="11498" width="6.44140625" style="83" customWidth="1"/>
    <col min="11499" max="11499" width="10.77734375" style="83" customWidth="1"/>
    <col min="11500" max="11500" width="13" style="83" bestFit="1" customWidth="1"/>
    <col min="11501" max="11501" width="14.77734375" style="83" bestFit="1" customWidth="1"/>
    <col min="11502" max="11502" width="4.44140625" style="83" customWidth="1"/>
    <col min="11503" max="11503" width="8.77734375" style="83" customWidth="1"/>
    <col min="11504" max="11504" width="8.77734375" style="83" bestFit="1" customWidth="1"/>
    <col min="11505" max="11505" width="11.5546875" style="83" customWidth="1"/>
    <col min="11506" max="11506" width="11.44140625" style="83" customWidth="1"/>
    <col min="11507" max="11507" width="7" style="83" bestFit="1" customWidth="1"/>
    <col min="11508" max="11508" width="8.77734375" style="83" bestFit="1" customWidth="1"/>
    <col min="11509" max="11509" width="15.21875" style="83" customWidth="1"/>
    <col min="11510" max="11511" width="12.5546875" style="83" bestFit="1" customWidth="1"/>
    <col min="11512" max="11512" width="11.5546875" style="83" bestFit="1" customWidth="1"/>
    <col min="11513" max="11513" width="10.5546875" style="83" bestFit="1" customWidth="1"/>
    <col min="11514" max="11514" width="14.21875" style="83" bestFit="1" customWidth="1"/>
    <col min="11515" max="11515" width="9.21875" style="83"/>
    <col min="11516" max="11516" width="11.77734375" style="83" bestFit="1" customWidth="1"/>
    <col min="11517" max="11708" width="9.21875" style="83"/>
    <col min="11709" max="11709" width="9" style="83" bestFit="1" customWidth="1"/>
    <col min="11710" max="11710" width="56" style="83" customWidth="1"/>
    <col min="11711" max="11711" width="6.44140625" style="83" customWidth="1"/>
    <col min="11712" max="11712" width="12.21875" style="83" bestFit="1" customWidth="1"/>
    <col min="11713" max="11713" width="13" style="83" bestFit="1" customWidth="1"/>
    <col min="11714" max="11714" width="14.77734375" style="83" bestFit="1" customWidth="1"/>
    <col min="11715" max="11715" width="16.21875" style="83" customWidth="1"/>
    <col min="11716" max="11716" width="13.77734375" style="83" customWidth="1"/>
    <col min="11717" max="11717" width="11.77734375" style="83" customWidth="1"/>
    <col min="11718" max="11718" width="13.5546875" style="83" customWidth="1"/>
    <col min="11719" max="11719" width="10.5546875" style="83" customWidth="1"/>
    <col min="11720" max="11720" width="11.77734375" style="83" bestFit="1" customWidth="1"/>
    <col min="11721" max="11721" width="14.77734375" style="83" bestFit="1" customWidth="1"/>
    <col min="11722" max="11722" width="12.5546875" style="83" customWidth="1"/>
    <col min="11723" max="11723" width="12.77734375" style="83" bestFit="1" customWidth="1"/>
    <col min="11724" max="11724" width="12.21875" style="83" customWidth="1"/>
    <col min="11725" max="11725" width="28" style="83" customWidth="1"/>
    <col min="11726" max="11726" width="10.44140625" style="83" customWidth="1"/>
    <col min="11727" max="11751" width="9.21875" style="83"/>
    <col min="11752" max="11752" width="9" style="83" bestFit="1" customWidth="1"/>
    <col min="11753" max="11753" width="56" style="83" customWidth="1"/>
    <col min="11754" max="11754" width="6.44140625" style="83" customWidth="1"/>
    <col min="11755" max="11755" width="10.77734375" style="83" customWidth="1"/>
    <col min="11756" max="11756" width="13" style="83" bestFit="1" customWidth="1"/>
    <col min="11757" max="11757" width="14.77734375" style="83" bestFit="1" customWidth="1"/>
    <col min="11758" max="11758" width="4.44140625" style="83" customWidth="1"/>
    <col min="11759" max="11759" width="8.77734375" style="83" customWidth="1"/>
    <col min="11760" max="11760" width="8.77734375" style="83" bestFit="1" customWidth="1"/>
    <col min="11761" max="11761" width="11.5546875" style="83" customWidth="1"/>
    <col min="11762" max="11762" width="11.44140625" style="83" customWidth="1"/>
    <col min="11763" max="11763" width="7" style="83" bestFit="1" customWidth="1"/>
    <col min="11764" max="11764" width="8.77734375" style="83" bestFit="1" customWidth="1"/>
    <col min="11765" max="11765" width="15.21875" style="83" customWidth="1"/>
    <col min="11766" max="11767" width="12.5546875" style="83" bestFit="1" customWidth="1"/>
    <col min="11768" max="11768" width="11.5546875" style="83" bestFit="1" customWidth="1"/>
    <col min="11769" max="11769" width="10.5546875" style="83" bestFit="1" customWidth="1"/>
    <col min="11770" max="11770" width="14.21875" style="83" bestFit="1" customWidth="1"/>
    <col min="11771" max="11771" width="9.21875" style="83"/>
    <col min="11772" max="11772" width="11.77734375" style="83" bestFit="1" customWidth="1"/>
    <col min="11773" max="11964" width="9.21875" style="83"/>
    <col min="11965" max="11965" width="9" style="83" bestFit="1" customWidth="1"/>
    <col min="11966" max="11966" width="56" style="83" customWidth="1"/>
    <col min="11967" max="11967" width="6.44140625" style="83" customWidth="1"/>
    <col min="11968" max="11968" width="12.21875" style="83" bestFit="1" customWidth="1"/>
    <col min="11969" max="11969" width="13" style="83" bestFit="1" customWidth="1"/>
    <col min="11970" max="11970" width="14.77734375" style="83" bestFit="1" customWidth="1"/>
    <col min="11971" max="11971" width="16.21875" style="83" customWidth="1"/>
    <col min="11972" max="11972" width="13.77734375" style="83" customWidth="1"/>
    <col min="11973" max="11973" width="11.77734375" style="83" customWidth="1"/>
    <col min="11974" max="11974" width="13.5546875" style="83" customWidth="1"/>
    <col min="11975" max="11975" width="10.5546875" style="83" customWidth="1"/>
    <col min="11976" max="11976" width="11.77734375" style="83" bestFit="1" customWidth="1"/>
    <col min="11977" max="11977" width="14.77734375" style="83" bestFit="1" customWidth="1"/>
    <col min="11978" max="11978" width="12.5546875" style="83" customWidth="1"/>
    <col min="11979" max="11979" width="12.77734375" style="83" bestFit="1" customWidth="1"/>
    <col min="11980" max="11980" width="12.21875" style="83" customWidth="1"/>
    <col min="11981" max="11981" width="28" style="83" customWidth="1"/>
    <col min="11982" max="11982" width="10.44140625" style="83" customWidth="1"/>
    <col min="11983" max="12007" width="9.21875" style="83"/>
    <col min="12008" max="12008" width="9" style="83" bestFit="1" customWidth="1"/>
    <col min="12009" max="12009" width="56" style="83" customWidth="1"/>
    <col min="12010" max="12010" width="6.44140625" style="83" customWidth="1"/>
    <col min="12011" max="12011" width="10.77734375" style="83" customWidth="1"/>
    <col min="12012" max="12012" width="13" style="83" bestFit="1" customWidth="1"/>
    <col min="12013" max="12013" width="14.77734375" style="83" bestFit="1" customWidth="1"/>
    <col min="12014" max="12014" width="4.44140625" style="83" customWidth="1"/>
    <col min="12015" max="12015" width="8.77734375" style="83" customWidth="1"/>
    <col min="12016" max="12016" width="8.77734375" style="83" bestFit="1" customWidth="1"/>
    <col min="12017" max="12017" width="11.5546875" style="83" customWidth="1"/>
    <col min="12018" max="12018" width="11.44140625" style="83" customWidth="1"/>
    <col min="12019" max="12019" width="7" style="83" bestFit="1" customWidth="1"/>
    <col min="12020" max="12020" width="8.77734375" style="83" bestFit="1" customWidth="1"/>
    <col min="12021" max="12021" width="15.21875" style="83" customWidth="1"/>
    <col min="12022" max="12023" width="12.5546875" style="83" bestFit="1" customWidth="1"/>
    <col min="12024" max="12024" width="11.5546875" style="83" bestFit="1" customWidth="1"/>
    <col min="12025" max="12025" width="10.5546875" style="83" bestFit="1" customWidth="1"/>
    <col min="12026" max="12026" width="14.21875" style="83" bestFit="1" customWidth="1"/>
    <col min="12027" max="12027" width="9.21875" style="83"/>
    <col min="12028" max="12028" width="11.77734375" style="83" bestFit="1" customWidth="1"/>
    <col min="12029" max="12220" width="9.21875" style="83"/>
    <col min="12221" max="12221" width="9" style="83" bestFit="1" customWidth="1"/>
    <col min="12222" max="12222" width="56" style="83" customWidth="1"/>
    <col min="12223" max="12223" width="6.44140625" style="83" customWidth="1"/>
    <col min="12224" max="12224" width="12.21875" style="83" bestFit="1" customWidth="1"/>
    <col min="12225" max="12225" width="13" style="83" bestFit="1" customWidth="1"/>
    <col min="12226" max="12226" width="14.77734375" style="83" bestFit="1" customWidth="1"/>
    <col min="12227" max="12227" width="16.21875" style="83" customWidth="1"/>
    <col min="12228" max="12228" width="13.77734375" style="83" customWidth="1"/>
    <col min="12229" max="12229" width="11.77734375" style="83" customWidth="1"/>
    <col min="12230" max="12230" width="13.5546875" style="83" customWidth="1"/>
    <col min="12231" max="12231" width="10.5546875" style="83" customWidth="1"/>
    <col min="12232" max="12232" width="11.77734375" style="83" bestFit="1" customWidth="1"/>
    <col min="12233" max="12233" width="14.77734375" style="83" bestFit="1" customWidth="1"/>
    <col min="12234" max="12234" width="12.5546875" style="83" customWidth="1"/>
    <col min="12235" max="12235" width="12.77734375" style="83" bestFit="1" customWidth="1"/>
    <col min="12236" max="12236" width="12.21875" style="83" customWidth="1"/>
    <col min="12237" max="12237" width="28" style="83" customWidth="1"/>
    <col min="12238" max="12238" width="10.44140625" style="83" customWidth="1"/>
    <col min="12239" max="12263" width="9.21875" style="83"/>
    <col min="12264" max="12264" width="9" style="83" bestFit="1" customWidth="1"/>
    <col min="12265" max="12265" width="56" style="83" customWidth="1"/>
    <col min="12266" max="12266" width="6.44140625" style="83" customWidth="1"/>
    <col min="12267" max="12267" width="10.77734375" style="83" customWidth="1"/>
    <col min="12268" max="12268" width="13" style="83" bestFit="1" customWidth="1"/>
    <col min="12269" max="12269" width="14.77734375" style="83" bestFit="1" customWidth="1"/>
    <col min="12270" max="12270" width="4.44140625" style="83" customWidth="1"/>
    <col min="12271" max="12271" width="8.77734375" style="83" customWidth="1"/>
    <col min="12272" max="12272" width="8.77734375" style="83" bestFit="1" customWidth="1"/>
    <col min="12273" max="12273" width="11.5546875" style="83" customWidth="1"/>
    <col min="12274" max="12274" width="11.44140625" style="83" customWidth="1"/>
    <col min="12275" max="12275" width="7" style="83" bestFit="1" customWidth="1"/>
    <col min="12276" max="12276" width="8.77734375" style="83" bestFit="1" customWidth="1"/>
    <col min="12277" max="12277" width="15.21875" style="83" customWidth="1"/>
    <col min="12278" max="12279" width="12.5546875" style="83" bestFit="1" customWidth="1"/>
    <col min="12280" max="12280" width="11.5546875" style="83" bestFit="1" customWidth="1"/>
    <col min="12281" max="12281" width="10.5546875" style="83" bestFit="1" customWidth="1"/>
    <col min="12282" max="12282" width="14.21875" style="83" bestFit="1" customWidth="1"/>
    <col min="12283" max="12283" width="9.21875" style="83"/>
    <col min="12284" max="12284" width="11.77734375" style="83" bestFit="1" customWidth="1"/>
    <col min="12285" max="12476" width="9.21875" style="83"/>
    <col min="12477" max="12477" width="9" style="83" bestFit="1" customWidth="1"/>
    <col min="12478" max="12478" width="56" style="83" customWidth="1"/>
    <col min="12479" max="12479" width="6.44140625" style="83" customWidth="1"/>
    <col min="12480" max="12480" width="12.21875" style="83" bestFit="1" customWidth="1"/>
    <col min="12481" max="12481" width="13" style="83" bestFit="1" customWidth="1"/>
    <col min="12482" max="12482" width="14.77734375" style="83" bestFit="1" customWidth="1"/>
    <col min="12483" max="12483" width="16.21875" style="83" customWidth="1"/>
    <col min="12484" max="12484" width="13.77734375" style="83" customWidth="1"/>
    <col min="12485" max="12485" width="11.77734375" style="83" customWidth="1"/>
    <col min="12486" max="12486" width="13.5546875" style="83" customWidth="1"/>
    <col min="12487" max="12487" width="10.5546875" style="83" customWidth="1"/>
    <col min="12488" max="12488" width="11.77734375" style="83" bestFit="1" customWidth="1"/>
    <col min="12489" max="12489" width="14.77734375" style="83" bestFit="1" customWidth="1"/>
    <col min="12490" max="12490" width="12.5546875" style="83" customWidth="1"/>
    <col min="12491" max="12491" width="12.77734375" style="83" bestFit="1" customWidth="1"/>
    <col min="12492" max="12492" width="12.21875" style="83" customWidth="1"/>
    <col min="12493" max="12493" width="28" style="83" customWidth="1"/>
    <col min="12494" max="12494" width="10.44140625" style="83" customWidth="1"/>
    <col min="12495" max="12519" width="9.21875" style="83"/>
    <col min="12520" max="12520" width="9" style="83" bestFit="1" customWidth="1"/>
    <col min="12521" max="12521" width="56" style="83" customWidth="1"/>
    <col min="12522" max="12522" width="6.44140625" style="83" customWidth="1"/>
    <col min="12523" max="12523" width="10.77734375" style="83" customWidth="1"/>
    <col min="12524" max="12524" width="13" style="83" bestFit="1" customWidth="1"/>
    <col min="12525" max="12525" width="14.77734375" style="83" bestFit="1" customWidth="1"/>
    <col min="12526" max="12526" width="4.44140625" style="83" customWidth="1"/>
    <col min="12527" max="12527" width="8.77734375" style="83" customWidth="1"/>
    <col min="12528" max="12528" width="8.77734375" style="83" bestFit="1" customWidth="1"/>
    <col min="12529" max="12529" width="11.5546875" style="83" customWidth="1"/>
    <col min="12530" max="12530" width="11.44140625" style="83" customWidth="1"/>
    <col min="12531" max="12531" width="7" style="83" bestFit="1" customWidth="1"/>
    <col min="12532" max="12532" width="8.77734375" style="83" bestFit="1" customWidth="1"/>
    <col min="12533" max="12533" width="15.21875" style="83" customWidth="1"/>
    <col min="12534" max="12535" width="12.5546875" style="83" bestFit="1" customWidth="1"/>
    <col min="12536" max="12536" width="11.5546875" style="83" bestFit="1" customWidth="1"/>
    <col min="12537" max="12537" width="10.5546875" style="83" bestFit="1" customWidth="1"/>
    <col min="12538" max="12538" width="14.21875" style="83" bestFit="1" customWidth="1"/>
    <col min="12539" max="12539" width="9.21875" style="83"/>
    <col min="12540" max="12540" width="11.77734375" style="83" bestFit="1" customWidth="1"/>
    <col min="12541" max="12732" width="9.21875" style="83"/>
    <col min="12733" max="12733" width="9" style="83" bestFit="1" customWidth="1"/>
    <col min="12734" max="12734" width="56" style="83" customWidth="1"/>
    <col min="12735" max="12735" width="6.44140625" style="83" customWidth="1"/>
    <col min="12736" max="12736" width="12.21875" style="83" bestFit="1" customWidth="1"/>
    <col min="12737" max="12737" width="13" style="83" bestFit="1" customWidth="1"/>
    <col min="12738" max="12738" width="14.77734375" style="83" bestFit="1" customWidth="1"/>
    <col min="12739" max="12739" width="16.21875" style="83" customWidth="1"/>
    <col min="12740" max="12740" width="13.77734375" style="83" customWidth="1"/>
    <col min="12741" max="12741" width="11.77734375" style="83" customWidth="1"/>
    <col min="12742" max="12742" width="13.5546875" style="83" customWidth="1"/>
    <col min="12743" max="12743" width="10.5546875" style="83" customWidth="1"/>
    <col min="12744" max="12744" width="11.77734375" style="83" bestFit="1" customWidth="1"/>
    <col min="12745" max="12745" width="14.77734375" style="83" bestFit="1" customWidth="1"/>
    <col min="12746" max="12746" width="12.5546875" style="83" customWidth="1"/>
    <col min="12747" max="12747" width="12.77734375" style="83" bestFit="1" customWidth="1"/>
    <col min="12748" max="12748" width="12.21875" style="83" customWidth="1"/>
    <col min="12749" max="12749" width="28" style="83" customWidth="1"/>
    <col min="12750" max="12750" width="10.44140625" style="83" customWidth="1"/>
    <col min="12751" max="12775" width="9.21875" style="83"/>
    <col min="12776" max="12776" width="9" style="83" bestFit="1" customWidth="1"/>
    <col min="12777" max="12777" width="56" style="83" customWidth="1"/>
    <col min="12778" max="12778" width="6.44140625" style="83" customWidth="1"/>
    <col min="12779" max="12779" width="10.77734375" style="83" customWidth="1"/>
    <col min="12780" max="12780" width="13" style="83" bestFit="1" customWidth="1"/>
    <col min="12781" max="12781" width="14.77734375" style="83" bestFit="1" customWidth="1"/>
    <col min="12782" max="12782" width="4.44140625" style="83" customWidth="1"/>
    <col min="12783" max="12783" width="8.77734375" style="83" customWidth="1"/>
    <col min="12784" max="12784" width="8.77734375" style="83" bestFit="1" customWidth="1"/>
    <col min="12785" max="12785" width="11.5546875" style="83" customWidth="1"/>
    <col min="12786" max="12786" width="11.44140625" style="83" customWidth="1"/>
    <col min="12787" max="12787" width="7" style="83" bestFit="1" customWidth="1"/>
    <col min="12788" max="12788" width="8.77734375" style="83" bestFit="1" customWidth="1"/>
    <col min="12789" max="12789" width="15.21875" style="83" customWidth="1"/>
    <col min="12790" max="12791" width="12.5546875" style="83" bestFit="1" customWidth="1"/>
    <col min="12792" max="12792" width="11.5546875" style="83" bestFit="1" customWidth="1"/>
    <col min="12793" max="12793" width="10.5546875" style="83" bestFit="1" customWidth="1"/>
    <col min="12794" max="12794" width="14.21875" style="83" bestFit="1" customWidth="1"/>
    <col min="12795" max="12795" width="9.21875" style="83"/>
    <col min="12796" max="12796" width="11.77734375" style="83" bestFit="1" customWidth="1"/>
    <col min="12797" max="12988" width="9.21875" style="83"/>
    <col min="12989" max="12989" width="9" style="83" bestFit="1" customWidth="1"/>
    <col min="12990" max="12990" width="56" style="83" customWidth="1"/>
    <col min="12991" max="12991" width="6.44140625" style="83" customWidth="1"/>
    <col min="12992" max="12992" width="12.21875" style="83" bestFit="1" customWidth="1"/>
    <col min="12993" max="12993" width="13" style="83" bestFit="1" customWidth="1"/>
    <col min="12994" max="12994" width="14.77734375" style="83" bestFit="1" customWidth="1"/>
    <col min="12995" max="12995" width="16.21875" style="83" customWidth="1"/>
    <col min="12996" max="12996" width="13.77734375" style="83" customWidth="1"/>
    <col min="12997" max="12997" width="11.77734375" style="83" customWidth="1"/>
    <col min="12998" max="12998" width="13.5546875" style="83" customWidth="1"/>
    <col min="12999" max="12999" width="10.5546875" style="83" customWidth="1"/>
    <col min="13000" max="13000" width="11.77734375" style="83" bestFit="1" customWidth="1"/>
    <col min="13001" max="13001" width="14.77734375" style="83" bestFit="1" customWidth="1"/>
    <col min="13002" max="13002" width="12.5546875" style="83" customWidth="1"/>
    <col min="13003" max="13003" width="12.77734375" style="83" bestFit="1" customWidth="1"/>
    <col min="13004" max="13004" width="12.21875" style="83" customWidth="1"/>
    <col min="13005" max="13005" width="28" style="83" customWidth="1"/>
    <col min="13006" max="13006" width="10.44140625" style="83" customWidth="1"/>
    <col min="13007" max="13031" width="9.21875" style="83"/>
    <col min="13032" max="13032" width="9" style="83" bestFit="1" customWidth="1"/>
    <col min="13033" max="13033" width="56" style="83" customWidth="1"/>
    <col min="13034" max="13034" width="6.44140625" style="83" customWidth="1"/>
    <col min="13035" max="13035" width="10.77734375" style="83" customWidth="1"/>
    <col min="13036" max="13036" width="13" style="83" bestFit="1" customWidth="1"/>
    <col min="13037" max="13037" width="14.77734375" style="83" bestFit="1" customWidth="1"/>
    <col min="13038" max="13038" width="4.44140625" style="83" customWidth="1"/>
    <col min="13039" max="13039" width="8.77734375" style="83" customWidth="1"/>
    <col min="13040" max="13040" width="8.77734375" style="83" bestFit="1" customWidth="1"/>
    <col min="13041" max="13041" width="11.5546875" style="83" customWidth="1"/>
    <col min="13042" max="13042" width="11.44140625" style="83" customWidth="1"/>
    <col min="13043" max="13043" width="7" style="83" bestFit="1" customWidth="1"/>
    <col min="13044" max="13044" width="8.77734375" style="83" bestFit="1" customWidth="1"/>
    <col min="13045" max="13045" width="15.21875" style="83" customWidth="1"/>
    <col min="13046" max="13047" width="12.5546875" style="83" bestFit="1" customWidth="1"/>
    <col min="13048" max="13048" width="11.5546875" style="83" bestFit="1" customWidth="1"/>
    <col min="13049" max="13049" width="10.5546875" style="83" bestFit="1" customWidth="1"/>
    <col min="13050" max="13050" width="14.21875" style="83" bestFit="1" customWidth="1"/>
    <col min="13051" max="13051" width="9.21875" style="83"/>
    <col min="13052" max="13052" width="11.77734375" style="83" bestFit="1" customWidth="1"/>
    <col min="13053" max="13244" width="9.21875" style="83"/>
    <col min="13245" max="13245" width="9" style="83" bestFit="1" customWidth="1"/>
    <col min="13246" max="13246" width="56" style="83" customWidth="1"/>
    <col min="13247" max="13247" width="6.44140625" style="83" customWidth="1"/>
    <col min="13248" max="13248" width="12.21875" style="83" bestFit="1" customWidth="1"/>
    <col min="13249" max="13249" width="13" style="83" bestFit="1" customWidth="1"/>
    <col min="13250" max="13250" width="14.77734375" style="83" bestFit="1" customWidth="1"/>
    <col min="13251" max="13251" width="16.21875" style="83" customWidth="1"/>
    <col min="13252" max="13252" width="13.77734375" style="83" customWidth="1"/>
    <col min="13253" max="13253" width="11.77734375" style="83" customWidth="1"/>
    <col min="13254" max="13254" width="13.5546875" style="83" customWidth="1"/>
    <col min="13255" max="13255" width="10.5546875" style="83" customWidth="1"/>
    <col min="13256" max="13256" width="11.77734375" style="83" bestFit="1" customWidth="1"/>
    <col min="13257" max="13257" width="14.77734375" style="83" bestFit="1" customWidth="1"/>
    <col min="13258" max="13258" width="12.5546875" style="83" customWidth="1"/>
    <col min="13259" max="13259" width="12.77734375" style="83" bestFit="1" customWidth="1"/>
    <col min="13260" max="13260" width="12.21875" style="83" customWidth="1"/>
    <col min="13261" max="13261" width="28" style="83" customWidth="1"/>
    <col min="13262" max="13262" width="10.44140625" style="83" customWidth="1"/>
    <col min="13263" max="13287" width="9.21875" style="83"/>
    <col min="13288" max="13288" width="9" style="83" bestFit="1" customWidth="1"/>
    <col min="13289" max="13289" width="56" style="83" customWidth="1"/>
    <col min="13290" max="13290" width="6.44140625" style="83" customWidth="1"/>
    <col min="13291" max="13291" width="10.77734375" style="83" customWidth="1"/>
    <col min="13292" max="13292" width="13" style="83" bestFit="1" customWidth="1"/>
    <col min="13293" max="13293" width="14.77734375" style="83" bestFit="1" customWidth="1"/>
    <col min="13294" max="13294" width="4.44140625" style="83" customWidth="1"/>
    <col min="13295" max="13295" width="8.77734375" style="83" customWidth="1"/>
    <col min="13296" max="13296" width="8.77734375" style="83" bestFit="1" customWidth="1"/>
    <col min="13297" max="13297" width="11.5546875" style="83" customWidth="1"/>
    <col min="13298" max="13298" width="11.44140625" style="83" customWidth="1"/>
    <col min="13299" max="13299" width="7" style="83" bestFit="1" customWidth="1"/>
    <col min="13300" max="13300" width="8.77734375" style="83" bestFit="1" customWidth="1"/>
    <col min="13301" max="13301" width="15.21875" style="83" customWidth="1"/>
    <col min="13302" max="13303" width="12.5546875" style="83" bestFit="1" customWidth="1"/>
    <col min="13304" max="13304" width="11.5546875" style="83" bestFit="1" customWidth="1"/>
    <col min="13305" max="13305" width="10.5546875" style="83" bestFit="1" customWidth="1"/>
    <col min="13306" max="13306" width="14.21875" style="83" bestFit="1" customWidth="1"/>
    <col min="13307" max="13307" width="9.21875" style="83"/>
    <col min="13308" max="13308" width="11.77734375" style="83" bestFit="1" customWidth="1"/>
    <col min="13309" max="13500" width="9.21875" style="83"/>
    <col min="13501" max="13501" width="9" style="83" bestFit="1" customWidth="1"/>
    <col min="13502" max="13502" width="56" style="83" customWidth="1"/>
    <col min="13503" max="13503" width="6.44140625" style="83" customWidth="1"/>
    <col min="13504" max="13504" width="12.21875" style="83" bestFit="1" customWidth="1"/>
    <col min="13505" max="13505" width="13" style="83" bestFit="1" customWidth="1"/>
    <col min="13506" max="13506" width="14.77734375" style="83" bestFit="1" customWidth="1"/>
    <col min="13507" max="13507" width="16.21875" style="83" customWidth="1"/>
    <col min="13508" max="13508" width="13.77734375" style="83" customWidth="1"/>
    <col min="13509" max="13509" width="11.77734375" style="83" customWidth="1"/>
    <col min="13510" max="13510" width="13.5546875" style="83" customWidth="1"/>
    <col min="13511" max="13511" width="10.5546875" style="83" customWidth="1"/>
    <col min="13512" max="13512" width="11.77734375" style="83" bestFit="1" customWidth="1"/>
    <col min="13513" max="13513" width="14.77734375" style="83" bestFit="1" customWidth="1"/>
    <col min="13514" max="13514" width="12.5546875" style="83" customWidth="1"/>
    <col min="13515" max="13515" width="12.77734375" style="83" bestFit="1" customWidth="1"/>
    <col min="13516" max="13516" width="12.21875" style="83" customWidth="1"/>
    <col min="13517" max="13517" width="28" style="83" customWidth="1"/>
    <col min="13518" max="13518" width="10.44140625" style="83" customWidth="1"/>
    <col min="13519" max="13543" width="9.21875" style="83"/>
    <col min="13544" max="13544" width="9" style="83" bestFit="1" customWidth="1"/>
    <col min="13545" max="13545" width="56" style="83" customWidth="1"/>
    <col min="13546" max="13546" width="6.44140625" style="83" customWidth="1"/>
    <col min="13547" max="13547" width="10.77734375" style="83" customWidth="1"/>
    <col min="13548" max="13548" width="13" style="83" bestFit="1" customWidth="1"/>
    <col min="13549" max="13549" width="14.77734375" style="83" bestFit="1" customWidth="1"/>
    <col min="13550" max="13550" width="4.44140625" style="83" customWidth="1"/>
    <col min="13551" max="13551" width="8.77734375" style="83" customWidth="1"/>
    <col min="13552" max="13552" width="8.77734375" style="83" bestFit="1" customWidth="1"/>
    <col min="13553" max="13553" width="11.5546875" style="83" customWidth="1"/>
    <col min="13554" max="13554" width="11.44140625" style="83" customWidth="1"/>
    <col min="13555" max="13555" width="7" style="83" bestFit="1" customWidth="1"/>
    <col min="13556" max="13556" width="8.77734375" style="83" bestFit="1" customWidth="1"/>
    <col min="13557" max="13557" width="15.21875" style="83" customWidth="1"/>
    <col min="13558" max="13559" width="12.5546875" style="83" bestFit="1" customWidth="1"/>
    <col min="13560" max="13560" width="11.5546875" style="83" bestFit="1" customWidth="1"/>
    <col min="13561" max="13561" width="10.5546875" style="83" bestFit="1" customWidth="1"/>
    <col min="13562" max="13562" width="14.21875" style="83" bestFit="1" customWidth="1"/>
    <col min="13563" max="13563" width="9.21875" style="83"/>
    <col min="13564" max="13564" width="11.77734375" style="83" bestFit="1" customWidth="1"/>
    <col min="13565" max="13756" width="9.21875" style="83"/>
    <col min="13757" max="13757" width="9" style="83" bestFit="1" customWidth="1"/>
    <col min="13758" max="13758" width="56" style="83" customWidth="1"/>
    <col min="13759" max="13759" width="6.44140625" style="83" customWidth="1"/>
    <col min="13760" max="13760" width="12.21875" style="83" bestFit="1" customWidth="1"/>
    <col min="13761" max="13761" width="13" style="83" bestFit="1" customWidth="1"/>
    <col min="13762" max="13762" width="14.77734375" style="83" bestFit="1" customWidth="1"/>
    <col min="13763" max="13763" width="16.21875" style="83" customWidth="1"/>
    <col min="13764" max="13764" width="13.77734375" style="83" customWidth="1"/>
    <col min="13765" max="13765" width="11.77734375" style="83" customWidth="1"/>
    <col min="13766" max="13766" width="13.5546875" style="83" customWidth="1"/>
    <col min="13767" max="13767" width="10.5546875" style="83" customWidth="1"/>
    <col min="13768" max="13768" width="11.77734375" style="83" bestFit="1" customWidth="1"/>
    <col min="13769" max="13769" width="14.77734375" style="83" bestFit="1" customWidth="1"/>
    <col min="13770" max="13770" width="12.5546875" style="83" customWidth="1"/>
    <col min="13771" max="13771" width="12.77734375" style="83" bestFit="1" customWidth="1"/>
    <col min="13772" max="13772" width="12.21875" style="83" customWidth="1"/>
    <col min="13773" max="13773" width="28" style="83" customWidth="1"/>
    <col min="13774" max="13774" width="10.44140625" style="83" customWidth="1"/>
    <col min="13775" max="13799" width="9.21875" style="83"/>
    <col min="13800" max="13800" width="9" style="83" bestFit="1" customWidth="1"/>
    <col min="13801" max="13801" width="56" style="83" customWidth="1"/>
    <col min="13802" max="13802" width="6.44140625" style="83" customWidth="1"/>
    <col min="13803" max="13803" width="10.77734375" style="83" customWidth="1"/>
    <col min="13804" max="13804" width="13" style="83" bestFit="1" customWidth="1"/>
    <col min="13805" max="13805" width="14.77734375" style="83" bestFit="1" customWidth="1"/>
    <col min="13806" max="13806" width="4.44140625" style="83" customWidth="1"/>
    <col min="13807" max="13807" width="8.77734375" style="83" customWidth="1"/>
    <col min="13808" max="13808" width="8.77734375" style="83" bestFit="1" customWidth="1"/>
    <col min="13809" max="13809" width="11.5546875" style="83" customWidth="1"/>
    <col min="13810" max="13810" width="11.44140625" style="83" customWidth="1"/>
    <col min="13811" max="13811" width="7" style="83" bestFit="1" customWidth="1"/>
    <col min="13812" max="13812" width="8.77734375" style="83" bestFit="1" customWidth="1"/>
    <col min="13813" max="13813" width="15.21875" style="83" customWidth="1"/>
    <col min="13814" max="13815" width="12.5546875" style="83" bestFit="1" customWidth="1"/>
    <col min="13816" max="13816" width="11.5546875" style="83" bestFit="1" customWidth="1"/>
    <col min="13817" max="13817" width="10.5546875" style="83" bestFit="1" customWidth="1"/>
    <col min="13818" max="13818" width="14.21875" style="83" bestFit="1" customWidth="1"/>
    <col min="13819" max="13819" width="9.21875" style="83"/>
    <col min="13820" max="13820" width="11.77734375" style="83" bestFit="1" customWidth="1"/>
    <col min="13821" max="14012" width="9.21875" style="83"/>
    <col min="14013" max="14013" width="9" style="83" bestFit="1" customWidth="1"/>
    <col min="14014" max="14014" width="56" style="83" customWidth="1"/>
    <col min="14015" max="14015" width="6.44140625" style="83" customWidth="1"/>
    <col min="14016" max="14016" width="12.21875" style="83" bestFit="1" customWidth="1"/>
    <col min="14017" max="14017" width="13" style="83" bestFit="1" customWidth="1"/>
    <col min="14018" max="14018" width="14.77734375" style="83" bestFit="1" customWidth="1"/>
    <col min="14019" max="14019" width="16.21875" style="83" customWidth="1"/>
    <col min="14020" max="14020" width="13.77734375" style="83" customWidth="1"/>
    <col min="14021" max="14021" width="11.77734375" style="83" customWidth="1"/>
    <col min="14022" max="14022" width="13.5546875" style="83" customWidth="1"/>
    <col min="14023" max="14023" width="10.5546875" style="83" customWidth="1"/>
    <col min="14024" max="14024" width="11.77734375" style="83" bestFit="1" customWidth="1"/>
    <col min="14025" max="14025" width="14.77734375" style="83" bestFit="1" customWidth="1"/>
    <col min="14026" max="14026" width="12.5546875" style="83" customWidth="1"/>
    <col min="14027" max="14027" width="12.77734375" style="83" bestFit="1" customWidth="1"/>
    <col min="14028" max="14028" width="12.21875" style="83" customWidth="1"/>
    <col min="14029" max="14029" width="28" style="83" customWidth="1"/>
    <col min="14030" max="14030" width="10.44140625" style="83" customWidth="1"/>
    <col min="14031" max="14055" width="9.21875" style="83"/>
    <col min="14056" max="14056" width="9" style="83" bestFit="1" customWidth="1"/>
    <col min="14057" max="14057" width="56" style="83" customWidth="1"/>
    <col min="14058" max="14058" width="6.44140625" style="83" customWidth="1"/>
    <col min="14059" max="14059" width="10.77734375" style="83" customWidth="1"/>
    <col min="14060" max="14060" width="13" style="83" bestFit="1" customWidth="1"/>
    <col min="14061" max="14061" width="14.77734375" style="83" bestFit="1" customWidth="1"/>
    <col min="14062" max="14062" width="4.44140625" style="83" customWidth="1"/>
    <col min="14063" max="14063" width="8.77734375" style="83" customWidth="1"/>
    <col min="14064" max="14064" width="8.77734375" style="83" bestFit="1" customWidth="1"/>
    <col min="14065" max="14065" width="11.5546875" style="83" customWidth="1"/>
    <col min="14066" max="14066" width="11.44140625" style="83" customWidth="1"/>
    <col min="14067" max="14067" width="7" style="83" bestFit="1" customWidth="1"/>
    <col min="14068" max="14068" width="8.77734375" style="83" bestFit="1" customWidth="1"/>
    <col min="14069" max="14069" width="15.21875" style="83" customWidth="1"/>
    <col min="14070" max="14071" width="12.5546875" style="83" bestFit="1" customWidth="1"/>
    <col min="14072" max="14072" width="11.5546875" style="83" bestFit="1" customWidth="1"/>
    <col min="14073" max="14073" width="10.5546875" style="83" bestFit="1" customWidth="1"/>
    <col min="14074" max="14074" width="14.21875" style="83" bestFit="1" customWidth="1"/>
    <col min="14075" max="14075" width="9.21875" style="83"/>
    <col min="14076" max="14076" width="11.77734375" style="83" bestFit="1" customWidth="1"/>
    <col min="14077" max="14268" width="9.21875" style="83"/>
    <col min="14269" max="14269" width="9" style="83" bestFit="1" customWidth="1"/>
    <col min="14270" max="14270" width="56" style="83" customWidth="1"/>
    <col min="14271" max="14271" width="6.44140625" style="83" customWidth="1"/>
    <col min="14272" max="14272" width="12.21875" style="83" bestFit="1" customWidth="1"/>
    <col min="14273" max="14273" width="13" style="83" bestFit="1" customWidth="1"/>
    <col min="14274" max="14274" width="14.77734375" style="83" bestFit="1" customWidth="1"/>
    <col min="14275" max="14275" width="16.21875" style="83" customWidth="1"/>
    <col min="14276" max="14276" width="13.77734375" style="83" customWidth="1"/>
    <col min="14277" max="14277" width="11.77734375" style="83" customWidth="1"/>
    <col min="14278" max="14278" width="13.5546875" style="83" customWidth="1"/>
    <col min="14279" max="14279" width="10.5546875" style="83" customWidth="1"/>
    <col min="14280" max="14280" width="11.77734375" style="83" bestFit="1" customWidth="1"/>
    <col min="14281" max="14281" width="14.77734375" style="83" bestFit="1" customWidth="1"/>
    <col min="14282" max="14282" width="12.5546875" style="83" customWidth="1"/>
    <col min="14283" max="14283" width="12.77734375" style="83" bestFit="1" customWidth="1"/>
    <col min="14284" max="14284" width="12.21875" style="83" customWidth="1"/>
    <col min="14285" max="14285" width="28" style="83" customWidth="1"/>
    <col min="14286" max="14286" width="10.44140625" style="83" customWidth="1"/>
    <col min="14287" max="14311" width="9.21875" style="83"/>
    <col min="14312" max="14312" width="9" style="83" bestFit="1" customWidth="1"/>
    <col min="14313" max="14313" width="56" style="83" customWidth="1"/>
    <col min="14314" max="14314" width="6.44140625" style="83" customWidth="1"/>
    <col min="14315" max="14315" width="10.77734375" style="83" customWidth="1"/>
    <col min="14316" max="14316" width="13" style="83" bestFit="1" customWidth="1"/>
    <col min="14317" max="14317" width="14.77734375" style="83" bestFit="1" customWidth="1"/>
    <col min="14318" max="14318" width="4.44140625" style="83" customWidth="1"/>
    <col min="14319" max="14319" width="8.77734375" style="83" customWidth="1"/>
    <col min="14320" max="14320" width="8.77734375" style="83" bestFit="1" customWidth="1"/>
    <col min="14321" max="14321" width="11.5546875" style="83" customWidth="1"/>
    <col min="14322" max="14322" width="11.44140625" style="83" customWidth="1"/>
    <col min="14323" max="14323" width="7" style="83" bestFit="1" customWidth="1"/>
    <col min="14324" max="14324" width="8.77734375" style="83" bestFit="1" customWidth="1"/>
    <col min="14325" max="14325" width="15.21875" style="83" customWidth="1"/>
    <col min="14326" max="14327" width="12.5546875" style="83" bestFit="1" customWidth="1"/>
    <col min="14328" max="14328" width="11.5546875" style="83" bestFit="1" customWidth="1"/>
    <col min="14329" max="14329" width="10.5546875" style="83" bestFit="1" customWidth="1"/>
    <col min="14330" max="14330" width="14.21875" style="83" bestFit="1" customWidth="1"/>
    <col min="14331" max="14331" width="9.21875" style="83"/>
    <col min="14332" max="14332" width="11.77734375" style="83" bestFit="1" customWidth="1"/>
    <col min="14333" max="14524" width="9.21875" style="83"/>
    <col min="14525" max="14525" width="9" style="83" bestFit="1" customWidth="1"/>
    <col min="14526" max="14526" width="56" style="83" customWidth="1"/>
    <col min="14527" max="14527" width="6.44140625" style="83" customWidth="1"/>
    <col min="14528" max="14528" width="12.21875" style="83" bestFit="1" customWidth="1"/>
    <col min="14529" max="14529" width="13" style="83" bestFit="1" customWidth="1"/>
    <col min="14530" max="14530" width="14.77734375" style="83" bestFit="1" customWidth="1"/>
    <col min="14531" max="14531" width="16.21875" style="83" customWidth="1"/>
    <col min="14532" max="14532" width="13.77734375" style="83" customWidth="1"/>
    <col min="14533" max="14533" width="11.77734375" style="83" customWidth="1"/>
    <col min="14534" max="14534" width="13.5546875" style="83" customWidth="1"/>
    <col min="14535" max="14535" width="10.5546875" style="83" customWidth="1"/>
    <col min="14536" max="14536" width="11.77734375" style="83" bestFit="1" customWidth="1"/>
    <col min="14537" max="14537" width="14.77734375" style="83" bestFit="1" customWidth="1"/>
    <col min="14538" max="14538" width="12.5546875" style="83" customWidth="1"/>
    <col min="14539" max="14539" width="12.77734375" style="83" bestFit="1" customWidth="1"/>
    <col min="14540" max="14540" width="12.21875" style="83" customWidth="1"/>
    <col min="14541" max="14541" width="28" style="83" customWidth="1"/>
    <col min="14542" max="14542" width="10.44140625" style="83" customWidth="1"/>
    <col min="14543" max="14567" width="9.21875" style="83"/>
    <col min="14568" max="14568" width="9" style="83" bestFit="1" customWidth="1"/>
    <col min="14569" max="14569" width="56" style="83" customWidth="1"/>
    <col min="14570" max="14570" width="6.44140625" style="83" customWidth="1"/>
    <col min="14571" max="14571" width="10.77734375" style="83" customWidth="1"/>
    <col min="14572" max="14572" width="13" style="83" bestFit="1" customWidth="1"/>
    <col min="14573" max="14573" width="14.77734375" style="83" bestFit="1" customWidth="1"/>
    <col min="14574" max="14574" width="4.44140625" style="83" customWidth="1"/>
    <col min="14575" max="14575" width="8.77734375" style="83" customWidth="1"/>
    <col min="14576" max="14576" width="8.77734375" style="83" bestFit="1" customWidth="1"/>
    <col min="14577" max="14577" width="11.5546875" style="83" customWidth="1"/>
    <col min="14578" max="14578" width="11.44140625" style="83" customWidth="1"/>
    <col min="14579" max="14579" width="7" style="83" bestFit="1" customWidth="1"/>
    <col min="14580" max="14580" width="8.77734375" style="83" bestFit="1" customWidth="1"/>
    <col min="14581" max="14581" width="15.21875" style="83" customWidth="1"/>
    <col min="14582" max="14583" width="12.5546875" style="83" bestFit="1" customWidth="1"/>
    <col min="14584" max="14584" width="11.5546875" style="83" bestFit="1" customWidth="1"/>
    <col min="14585" max="14585" width="10.5546875" style="83" bestFit="1" customWidth="1"/>
    <col min="14586" max="14586" width="14.21875" style="83" bestFit="1" customWidth="1"/>
    <col min="14587" max="14587" width="9.21875" style="83"/>
    <col min="14588" max="14588" width="11.77734375" style="83" bestFit="1" customWidth="1"/>
    <col min="14589" max="14780" width="9.21875" style="83"/>
    <col min="14781" max="14781" width="9" style="83" bestFit="1" customWidth="1"/>
    <col min="14782" max="14782" width="56" style="83" customWidth="1"/>
    <col min="14783" max="14783" width="6.44140625" style="83" customWidth="1"/>
    <col min="14784" max="14784" width="12.21875" style="83" bestFit="1" customWidth="1"/>
    <col min="14785" max="14785" width="13" style="83" bestFit="1" customWidth="1"/>
    <col min="14786" max="14786" width="14.77734375" style="83" bestFit="1" customWidth="1"/>
    <col min="14787" max="14787" width="16.21875" style="83" customWidth="1"/>
    <col min="14788" max="14788" width="13.77734375" style="83" customWidth="1"/>
    <col min="14789" max="14789" width="11.77734375" style="83" customWidth="1"/>
    <col min="14790" max="14790" width="13.5546875" style="83" customWidth="1"/>
    <col min="14791" max="14791" width="10.5546875" style="83" customWidth="1"/>
    <col min="14792" max="14792" width="11.77734375" style="83" bestFit="1" customWidth="1"/>
    <col min="14793" max="14793" width="14.77734375" style="83" bestFit="1" customWidth="1"/>
    <col min="14794" max="14794" width="12.5546875" style="83" customWidth="1"/>
    <col min="14795" max="14795" width="12.77734375" style="83" bestFit="1" customWidth="1"/>
    <col min="14796" max="14796" width="12.21875" style="83" customWidth="1"/>
    <col min="14797" max="14797" width="28" style="83" customWidth="1"/>
    <col min="14798" max="14798" width="10.44140625" style="83" customWidth="1"/>
    <col min="14799" max="14823" width="9.21875" style="83"/>
    <col min="14824" max="14824" width="9" style="83" bestFit="1" customWidth="1"/>
    <col min="14825" max="14825" width="56" style="83" customWidth="1"/>
    <col min="14826" max="14826" width="6.44140625" style="83" customWidth="1"/>
    <col min="14827" max="14827" width="10.77734375" style="83" customWidth="1"/>
    <col min="14828" max="14828" width="13" style="83" bestFit="1" customWidth="1"/>
    <col min="14829" max="14829" width="14.77734375" style="83" bestFit="1" customWidth="1"/>
    <col min="14830" max="14830" width="4.44140625" style="83" customWidth="1"/>
    <col min="14831" max="14831" width="8.77734375" style="83" customWidth="1"/>
    <col min="14832" max="14832" width="8.77734375" style="83" bestFit="1" customWidth="1"/>
    <col min="14833" max="14833" width="11.5546875" style="83" customWidth="1"/>
    <col min="14834" max="14834" width="11.44140625" style="83" customWidth="1"/>
    <col min="14835" max="14835" width="7" style="83" bestFit="1" customWidth="1"/>
    <col min="14836" max="14836" width="8.77734375" style="83" bestFit="1" customWidth="1"/>
    <col min="14837" max="14837" width="15.21875" style="83" customWidth="1"/>
    <col min="14838" max="14839" width="12.5546875" style="83" bestFit="1" customWidth="1"/>
    <col min="14840" max="14840" width="11.5546875" style="83" bestFit="1" customWidth="1"/>
    <col min="14841" max="14841" width="10.5546875" style="83" bestFit="1" customWidth="1"/>
    <col min="14842" max="14842" width="14.21875" style="83" bestFit="1" customWidth="1"/>
    <col min="14843" max="14843" width="9.21875" style="83"/>
    <col min="14844" max="14844" width="11.77734375" style="83" bestFit="1" customWidth="1"/>
    <col min="14845" max="15036" width="9.21875" style="83"/>
    <col min="15037" max="15037" width="9" style="83" bestFit="1" customWidth="1"/>
    <col min="15038" max="15038" width="56" style="83" customWidth="1"/>
    <col min="15039" max="15039" width="6.44140625" style="83" customWidth="1"/>
    <col min="15040" max="15040" width="12.21875" style="83" bestFit="1" customWidth="1"/>
    <col min="15041" max="15041" width="13" style="83" bestFit="1" customWidth="1"/>
    <col min="15042" max="15042" width="14.77734375" style="83" bestFit="1" customWidth="1"/>
    <col min="15043" max="15043" width="16.21875" style="83" customWidth="1"/>
    <col min="15044" max="15044" width="13.77734375" style="83" customWidth="1"/>
    <col min="15045" max="15045" width="11.77734375" style="83" customWidth="1"/>
    <col min="15046" max="15046" width="13.5546875" style="83" customWidth="1"/>
    <col min="15047" max="15047" width="10.5546875" style="83" customWidth="1"/>
    <col min="15048" max="15048" width="11.77734375" style="83" bestFit="1" customWidth="1"/>
    <col min="15049" max="15049" width="14.77734375" style="83" bestFit="1" customWidth="1"/>
    <col min="15050" max="15050" width="12.5546875" style="83" customWidth="1"/>
    <col min="15051" max="15051" width="12.77734375" style="83" bestFit="1" customWidth="1"/>
    <col min="15052" max="15052" width="12.21875" style="83" customWidth="1"/>
    <col min="15053" max="15053" width="28" style="83" customWidth="1"/>
    <col min="15054" max="15054" width="10.44140625" style="83" customWidth="1"/>
    <col min="15055" max="15079" width="9.21875" style="83"/>
    <col min="15080" max="15080" width="9" style="83" bestFit="1" customWidth="1"/>
    <col min="15081" max="15081" width="56" style="83" customWidth="1"/>
    <col min="15082" max="15082" width="6.44140625" style="83" customWidth="1"/>
    <col min="15083" max="15083" width="10.77734375" style="83" customWidth="1"/>
    <col min="15084" max="15084" width="13" style="83" bestFit="1" customWidth="1"/>
    <col min="15085" max="15085" width="14.77734375" style="83" bestFit="1" customWidth="1"/>
    <col min="15086" max="15086" width="4.44140625" style="83" customWidth="1"/>
    <col min="15087" max="15087" width="8.77734375" style="83" customWidth="1"/>
    <col min="15088" max="15088" width="8.77734375" style="83" bestFit="1" customWidth="1"/>
    <col min="15089" max="15089" width="11.5546875" style="83" customWidth="1"/>
    <col min="15090" max="15090" width="11.44140625" style="83" customWidth="1"/>
    <col min="15091" max="15091" width="7" style="83" bestFit="1" customWidth="1"/>
    <col min="15092" max="15092" width="8.77734375" style="83" bestFit="1" customWidth="1"/>
    <col min="15093" max="15093" width="15.21875" style="83" customWidth="1"/>
    <col min="15094" max="15095" width="12.5546875" style="83" bestFit="1" customWidth="1"/>
    <col min="15096" max="15096" width="11.5546875" style="83" bestFit="1" customWidth="1"/>
    <col min="15097" max="15097" width="10.5546875" style="83" bestFit="1" customWidth="1"/>
    <col min="15098" max="15098" width="14.21875" style="83" bestFit="1" customWidth="1"/>
    <col min="15099" max="15099" width="9.21875" style="83"/>
    <col min="15100" max="15100" width="11.77734375" style="83" bestFit="1" customWidth="1"/>
    <col min="15101" max="15292" width="9.21875" style="83"/>
    <col min="15293" max="15293" width="9" style="83" bestFit="1" customWidth="1"/>
    <col min="15294" max="15294" width="56" style="83" customWidth="1"/>
    <col min="15295" max="15295" width="6.44140625" style="83" customWidth="1"/>
    <col min="15296" max="15296" width="12.21875" style="83" bestFit="1" customWidth="1"/>
    <col min="15297" max="15297" width="13" style="83" bestFit="1" customWidth="1"/>
    <col min="15298" max="15298" width="14.77734375" style="83" bestFit="1" customWidth="1"/>
    <col min="15299" max="15299" width="16.21875" style="83" customWidth="1"/>
    <col min="15300" max="15300" width="13.77734375" style="83" customWidth="1"/>
    <col min="15301" max="15301" width="11.77734375" style="83" customWidth="1"/>
    <col min="15302" max="15302" width="13.5546875" style="83" customWidth="1"/>
    <col min="15303" max="15303" width="10.5546875" style="83" customWidth="1"/>
    <col min="15304" max="15304" width="11.77734375" style="83" bestFit="1" customWidth="1"/>
    <col min="15305" max="15305" width="14.77734375" style="83" bestFit="1" customWidth="1"/>
    <col min="15306" max="15306" width="12.5546875" style="83" customWidth="1"/>
    <col min="15307" max="15307" width="12.77734375" style="83" bestFit="1" customWidth="1"/>
    <col min="15308" max="15308" width="12.21875" style="83" customWidth="1"/>
    <col min="15309" max="15309" width="28" style="83" customWidth="1"/>
    <col min="15310" max="15310" width="10.44140625" style="83" customWidth="1"/>
    <col min="15311" max="15335" width="9.21875" style="83"/>
    <col min="15336" max="15336" width="9" style="83" bestFit="1" customWidth="1"/>
    <col min="15337" max="15337" width="56" style="83" customWidth="1"/>
    <col min="15338" max="15338" width="6.44140625" style="83" customWidth="1"/>
    <col min="15339" max="15339" width="10.77734375" style="83" customWidth="1"/>
    <col min="15340" max="15340" width="13" style="83" bestFit="1" customWidth="1"/>
    <col min="15341" max="15341" width="14.77734375" style="83" bestFit="1" customWidth="1"/>
    <col min="15342" max="15342" width="4.44140625" style="83" customWidth="1"/>
    <col min="15343" max="15343" width="8.77734375" style="83" customWidth="1"/>
    <col min="15344" max="15344" width="8.77734375" style="83" bestFit="1" customWidth="1"/>
    <col min="15345" max="15345" width="11.5546875" style="83" customWidth="1"/>
    <col min="15346" max="15346" width="11.44140625" style="83" customWidth="1"/>
    <col min="15347" max="15347" width="7" style="83" bestFit="1" customWidth="1"/>
    <col min="15348" max="15348" width="8.77734375" style="83" bestFit="1" customWidth="1"/>
    <col min="15349" max="15349" width="15.21875" style="83" customWidth="1"/>
    <col min="15350" max="15351" width="12.5546875" style="83" bestFit="1" customWidth="1"/>
    <col min="15352" max="15352" width="11.5546875" style="83" bestFit="1" customWidth="1"/>
    <col min="15353" max="15353" width="10.5546875" style="83" bestFit="1" customWidth="1"/>
    <col min="15354" max="15354" width="14.21875" style="83" bestFit="1" customWidth="1"/>
    <col min="15355" max="15355" width="9.21875" style="83"/>
    <col min="15356" max="15356" width="11.77734375" style="83" bestFit="1" customWidth="1"/>
    <col min="15357" max="15548" width="9.21875" style="83"/>
    <col min="15549" max="15549" width="9" style="83" bestFit="1" customWidth="1"/>
    <col min="15550" max="15550" width="56" style="83" customWidth="1"/>
    <col min="15551" max="15551" width="6.44140625" style="83" customWidth="1"/>
    <col min="15552" max="15552" width="12.21875" style="83" bestFit="1" customWidth="1"/>
    <col min="15553" max="15553" width="13" style="83" bestFit="1" customWidth="1"/>
    <col min="15554" max="15554" width="14.77734375" style="83" bestFit="1" customWidth="1"/>
    <col min="15555" max="15555" width="16.21875" style="83" customWidth="1"/>
    <col min="15556" max="15556" width="13.77734375" style="83" customWidth="1"/>
    <col min="15557" max="15557" width="11.77734375" style="83" customWidth="1"/>
    <col min="15558" max="15558" width="13.5546875" style="83" customWidth="1"/>
    <col min="15559" max="15559" width="10.5546875" style="83" customWidth="1"/>
    <col min="15560" max="15560" width="11.77734375" style="83" bestFit="1" customWidth="1"/>
    <col min="15561" max="15561" width="14.77734375" style="83" bestFit="1" customWidth="1"/>
    <col min="15562" max="15562" width="12.5546875" style="83" customWidth="1"/>
    <col min="15563" max="15563" width="12.77734375" style="83" bestFit="1" customWidth="1"/>
    <col min="15564" max="15564" width="12.21875" style="83" customWidth="1"/>
    <col min="15565" max="15565" width="28" style="83" customWidth="1"/>
    <col min="15566" max="15566" width="10.44140625" style="83" customWidth="1"/>
    <col min="15567" max="15591" width="9.21875" style="83"/>
    <col min="15592" max="15592" width="9" style="83" bestFit="1" customWidth="1"/>
    <col min="15593" max="15593" width="56" style="83" customWidth="1"/>
    <col min="15594" max="15594" width="6.44140625" style="83" customWidth="1"/>
    <col min="15595" max="15595" width="10.77734375" style="83" customWidth="1"/>
    <col min="15596" max="15596" width="13" style="83" bestFit="1" customWidth="1"/>
    <col min="15597" max="15597" width="14.77734375" style="83" bestFit="1" customWidth="1"/>
    <col min="15598" max="15598" width="4.44140625" style="83" customWidth="1"/>
    <col min="15599" max="15599" width="8.77734375" style="83" customWidth="1"/>
    <col min="15600" max="15600" width="8.77734375" style="83" bestFit="1" customWidth="1"/>
    <col min="15601" max="15601" width="11.5546875" style="83" customWidth="1"/>
    <col min="15602" max="15602" width="11.44140625" style="83" customWidth="1"/>
    <col min="15603" max="15603" width="7" style="83" bestFit="1" customWidth="1"/>
    <col min="15604" max="15604" width="8.77734375" style="83" bestFit="1" customWidth="1"/>
    <col min="15605" max="15605" width="15.21875" style="83" customWidth="1"/>
    <col min="15606" max="15607" width="12.5546875" style="83" bestFit="1" customWidth="1"/>
    <col min="15608" max="15608" width="11.5546875" style="83" bestFit="1" customWidth="1"/>
    <col min="15609" max="15609" width="10.5546875" style="83" bestFit="1" customWidth="1"/>
    <col min="15610" max="15610" width="14.21875" style="83" bestFit="1" customWidth="1"/>
    <col min="15611" max="15611" width="9.21875" style="83"/>
    <col min="15612" max="15612" width="11.77734375" style="83" bestFit="1" customWidth="1"/>
    <col min="15613" max="15804" width="9.21875" style="83"/>
    <col min="15805" max="15805" width="9" style="83" bestFit="1" customWidth="1"/>
    <col min="15806" max="15806" width="56" style="83" customWidth="1"/>
    <col min="15807" max="15807" width="6.44140625" style="83" customWidth="1"/>
    <col min="15808" max="15808" width="12.21875" style="83" bestFit="1" customWidth="1"/>
    <col min="15809" max="15809" width="13" style="83" bestFit="1" customWidth="1"/>
    <col min="15810" max="15810" width="14.77734375" style="83" bestFit="1" customWidth="1"/>
    <col min="15811" max="15811" width="16.21875" style="83" customWidth="1"/>
    <col min="15812" max="15812" width="13.77734375" style="83" customWidth="1"/>
    <col min="15813" max="15813" width="11.77734375" style="83" customWidth="1"/>
    <col min="15814" max="15814" width="13.5546875" style="83" customWidth="1"/>
    <col min="15815" max="15815" width="10.5546875" style="83" customWidth="1"/>
    <col min="15816" max="15816" width="11.77734375" style="83" bestFit="1" customWidth="1"/>
    <col min="15817" max="15817" width="14.77734375" style="83" bestFit="1" customWidth="1"/>
    <col min="15818" max="15818" width="12.5546875" style="83" customWidth="1"/>
    <col min="15819" max="15819" width="12.77734375" style="83" bestFit="1" customWidth="1"/>
    <col min="15820" max="15820" width="12.21875" style="83" customWidth="1"/>
    <col min="15821" max="15821" width="28" style="83" customWidth="1"/>
    <col min="15822" max="15822" width="10.44140625" style="83" customWidth="1"/>
    <col min="15823" max="15847" width="9.21875" style="83"/>
    <col min="15848" max="15848" width="9" style="83" bestFit="1" customWidth="1"/>
    <col min="15849" max="15849" width="56" style="83" customWidth="1"/>
    <col min="15850" max="15850" width="6.44140625" style="83" customWidth="1"/>
    <col min="15851" max="15851" width="10.77734375" style="83" customWidth="1"/>
    <col min="15852" max="15852" width="13" style="83" bestFit="1" customWidth="1"/>
    <col min="15853" max="15853" width="14.77734375" style="83" bestFit="1" customWidth="1"/>
    <col min="15854" max="15854" width="4.44140625" style="83" customWidth="1"/>
    <col min="15855" max="15855" width="8.77734375" style="83" customWidth="1"/>
    <col min="15856" max="15856" width="8.77734375" style="83" bestFit="1" customWidth="1"/>
    <col min="15857" max="15857" width="11.5546875" style="83" customWidth="1"/>
    <col min="15858" max="15858" width="11.44140625" style="83" customWidth="1"/>
    <col min="15859" max="15859" width="7" style="83" bestFit="1" customWidth="1"/>
    <col min="15860" max="15860" width="8.77734375" style="83" bestFit="1" customWidth="1"/>
    <col min="15861" max="15861" width="15.21875" style="83" customWidth="1"/>
    <col min="15862" max="15863" width="12.5546875" style="83" bestFit="1" customWidth="1"/>
    <col min="15864" max="15864" width="11.5546875" style="83" bestFit="1" customWidth="1"/>
    <col min="15865" max="15865" width="10.5546875" style="83" bestFit="1" customWidth="1"/>
    <col min="15866" max="15866" width="14.21875" style="83" bestFit="1" customWidth="1"/>
    <col min="15867" max="15867" width="9.21875" style="83"/>
    <col min="15868" max="15868" width="11.77734375" style="83" bestFit="1" customWidth="1"/>
    <col min="15869" max="16060" width="9.21875" style="83"/>
    <col min="16061" max="16061" width="9" style="83" bestFit="1" customWidth="1"/>
    <col min="16062" max="16062" width="56" style="83" customWidth="1"/>
    <col min="16063" max="16063" width="6.44140625" style="83" customWidth="1"/>
    <col min="16064" max="16064" width="12.21875" style="83" bestFit="1" customWidth="1"/>
    <col min="16065" max="16065" width="13" style="83" bestFit="1" customWidth="1"/>
    <col min="16066" max="16066" width="14.77734375" style="83" bestFit="1" customWidth="1"/>
    <col min="16067" max="16067" width="16.21875" style="83" customWidth="1"/>
    <col min="16068" max="16068" width="13.77734375" style="83" customWidth="1"/>
    <col min="16069" max="16069" width="11.77734375" style="83" customWidth="1"/>
    <col min="16070" max="16070" width="13.5546875" style="83" customWidth="1"/>
    <col min="16071" max="16071" width="10.5546875" style="83" customWidth="1"/>
    <col min="16072" max="16072" width="11.77734375" style="83" bestFit="1" customWidth="1"/>
    <col min="16073" max="16073" width="14.77734375" style="83" bestFit="1" customWidth="1"/>
    <col min="16074" max="16074" width="12.5546875" style="83" customWidth="1"/>
    <col min="16075" max="16075" width="12.77734375" style="83" bestFit="1" customWidth="1"/>
    <col min="16076" max="16076" width="12.21875" style="83" customWidth="1"/>
    <col min="16077" max="16077" width="28" style="83" customWidth="1"/>
    <col min="16078" max="16078" width="10.44140625" style="83" customWidth="1"/>
    <col min="16079" max="16103" width="9.21875" style="83"/>
    <col min="16104" max="16104" width="9" style="83" bestFit="1" customWidth="1"/>
    <col min="16105" max="16105" width="56" style="83" customWidth="1"/>
    <col min="16106" max="16106" width="6.44140625" style="83" customWidth="1"/>
    <col min="16107" max="16107" width="10.77734375" style="83" customWidth="1"/>
    <col min="16108" max="16108" width="13" style="83" bestFit="1" customWidth="1"/>
    <col min="16109" max="16109" width="14.77734375" style="83" bestFit="1" customWidth="1"/>
    <col min="16110" max="16110" width="4.44140625" style="83" customWidth="1"/>
    <col min="16111" max="16111" width="8.77734375" style="83" customWidth="1"/>
    <col min="16112" max="16112" width="8.77734375" style="83" bestFit="1" customWidth="1"/>
    <col min="16113" max="16113" width="11.5546875" style="83" customWidth="1"/>
    <col min="16114" max="16114" width="11.44140625" style="83" customWidth="1"/>
    <col min="16115" max="16115" width="7" style="83" bestFit="1" customWidth="1"/>
    <col min="16116" max="16116" width="8.77734375" style="83" bestFit="1" customWidth="1"/>
    <col min="16117" max="16117" width="15.21875" style="83" customWidth="1"/>
    <col min="16118" max="16119" width="12.5546875" style="83" bestFit="1" customWidth="1"/>
    <col min="16120" max="16120" width="11.5546875" style="83" bestFit="1" customWidth="1"/>
    <col min="16121" max="16121" width="10.5546875" style="83" bestFit="1" customWidth="1"/>
    <col min="16122" max="16122" width="14.21875" style="83" bestFit="1" customWidth="1"/>
    <col min="16123" max="16123" width="9.21875" style="83"/>
    <col min="16124" max="16124" width="11.77734375" style="83" bestFit="1" customWidth="1"/>
    <col min="16125" max="16316" width="9.21875" style="83"/>
    <col min="16317" max="16317" width="9" style="83" bestFit="1" customWidth="1"/>
    <col min="16318" max="16318" width="56" style="83" customWidth="1"/>
    <col min="16319" max="16319" width="6.44140625" style="83" customWidth="1"/>
    <col min="16320" max="16320" width="12.21875" style="83" bestFit="1" customWidth="1"/>
    <col min="16321" max="16321" width="13" style="83" bestFit="1" customWidth="1"/>
    <col min="16322" max="16322" width="14.77734375" style="83" bestFit="1" customWidth="1"/>
    <col min="16323" max="16323" width="16.21875" style="83" customWidth="1"/>
    <col min="16324" max="16324" width="13.77734375" style="83" customWidth="1"/>
    <col min="16325" max="16325" width="11.77734375" style="83" customWidth="1"/>
    <col min="16326" max="16326" width="13.5546875" style="83" customWidth="1"/>
    <col min="16327" max="16327" width="10.5546875" style="83" customWidth="1"/>
    <col min="16328" max="16328" width="11.77734375" style="83" bestFit="1" customWidth="1"/>
    <col min="16329" max="16329" width="14.77734375" style="83" bestFit="1" customWidth="1"/>
    <col min="16330" max="16330" width="12.5546875" style="83" customWidth="1"/>
    <col min="16331" max="16331" width="12.77734375" style="83" bestFit="1" customWidth="1"/>
    <col min="16332" max="16332" width="12.21875" style="83" customWidth="1"/>
    <col min="16333" max="16333" width="28" style="83" customWidth="1"/>
    <col min="16334" max="16334" width="10.44140625" style="83" customWidth="1"/>
    <col min="16335" max="16384" width="9.21875" style="83"/>
  </cols>
  <sheetData>
    <row r="1" spans="1:229" s="104" customFormat="1" ht="82.05" customHeight="1" thickBot="1" x14ac:dyDescent="0.35">
      <c r="A1" s="290"/>
      <c r="B1" s="291"/>
      <c r="C1" s="291"/>
      <c r="D1" s="291"/>
      <c r="E1" s="291"/>
      <c r="F1" s="292"/>
    </row>
    <row r="2" spans="1:229" ht="24" thickBot="1" x14ac:dyDescent="0.35">
      <c r="A2" s="302" t="s">
        <v>357</v>
      </c>
      <c r="B2" s="303"/>
      <c r="C2" s="303"/>
      <c r="D2" s="303"/>
      <c r="E2" s="303"/>
      <c r="F2" s="304"/>
      <c r="J2" s="232">
        <v>1</v>
      </c>
    </row>
    <row r="3" spans="1:229" s="217" customFormat="1" ht="24.6" thickTop="1" x14ac:dyDescent="0.3">
      <c r="A3" s="192" t="s">
        <v>4</v>
      </c>
      <c r="B3" s="193" t="s">
        <v>5</v>
      </c>
      <c r="C3" s="194" t="s">
        <v>0</v>
      </c>
      <c r="D3" s="194" t="s">
        <v>412</v>
      </c>
      <c r="E3" s="193" t="s">
        <v>1</v>
      </c>
      <c r="F3" s="191" t="s">
        <v>353</v>
      </c>
      <c r="G3" s="156" t="s">
        <v>538</v>
      </c>
      <c r="H3" s="156" t="s">
        <v>525</v>
      </c>
      <c r="I3" s="156" t="s">
        <v>526</v>
      </c>
      <c r="J3" s="156" t="s">
        <v>527</v>
      </c>
      <c r="K3" s="156" t="s">
        <v>528</v>
      </c>
      <c r="L3" s="156" t="s">
        <v>529</v>
      </c>
      <c r="M3" s="156" t="s">
        <v>530</v>
      </c>
      <c r="N3" s="156" t="s">
        <v>531</v>
      </c>
      <c r="O3" s="156" t="s">
        <v>532</v>
      </c>
      <c r="P3" s="156" t="s">
        <v>533</v>
      </c>
      <c r="Q3" s="156" t="s">
        <v>534</v>
      </c>
      <c r="R3" s="156" t="s">
        <v>535</v>
      </c>
    </row>
    <row r="4" spans="1:229" hidden="1" x14ac:dyDescent="0.3">
      <c r="A4" s="119">
        <v>17</v>
      </c>
      <c r="B4" s="120" t="s">
        <v>260</v>
      </c>
      <c r="C4" s="102"/>
      <c r="D4" s="102"/>
      <c r="E4" s="121"/>
      <c r="F4" s="122"/>
    </row>
    <row r="5" spans="1:229" hidden="1" x14ac:dyDescent="0.3">
      <c r="A5" s="123"/>
      <c r="B5" s="124"/>
      <c r="C5" s="102"/>
      <c r="D5" s="102"/>
      <c r="E5" s="121"/>
      <c r="F5" s="122"/>
    </row>
    <row r="6" spans="1:229" hidden="1" x14ac:dyDescent="0.3">
      <c r="A6" s="125">
        <v>17.100000000000001</v>
      </c>
      <c r="B6" s="120" t="s">
        <v>261</v>
      </c>
      <c r="C6" s="102"/>
      <c r="D6" s="102"/>
      <c r="E6" s="121"/>
      <c r="F6" s="122"/>
    </row>
    <row r="7" spans="1:229" ht="43.2" hidden="1" x14ac:dyDescent="0.3">
      <c r="A7" s="126"/>
      <c r="B7" s="127" t="s">
        <v>262</v>
      </c>
      <c r="C7" s="103"/>
      <c r="D7" s="103"/>
      <c r="E7" s="121"/>
      <c r="F7" s="122"/>
    </row>
    <row r="8" spans="1:229" hidden="1" x14ac:dyDescent="0.3">
      <c r="A8" s="126" t="s">
        <v>401</v>
      </c>
      <c r="B8" s="128" t="s">
        <v>349</v>
      </c>
      <c r="C8" s="103" t="s">
        <v>2</v>
      </c>
      <c r="D8" s="103">
        <v>630</v>
      </c>
      <c r="E8" s="121"/>
      <c r="F8" s="129"/>
      <c r="G8" s="84"/>
      <c r="H8" s="84"/>
    </row>
    <row r="9" spans="1:229" hidden="1" x14ac:dyDescent="0.3">
      <c r="A9" s="126" t="s">
        <v>402</v>
      </c>
      <c r="B9" s="127" t="s">
        <v>350</v>
      </c>
      <c r="C9" s="103" t="s">
        <v>2</v>
      </c>
      <c r="D9" s="103">
        <v>175</v>
      </c>
      <c r="E9" s="121"/>
      <c r="F9" s="129"/>
      <c r="G9" s="84"/>
      <c r="H9" s="84"/>
    </row>
    <row r="10" spans="1:229" hidden="1" x14ac:dyDescent="0.3">
      <c r="A10" s="126"/>
      <c r="B10" s="130"/>
      <c r="C10" s="103"/>
      <c r="D10" s="103"/>
      <c r="E10" s="121"/>
      <c r="F10" s="122"/>
    </row>
    <row r="11" spans="1:229" hidden="1" x14ac:dyDescent="0.3">
      <c r="A11" s="131">
        <v>17.2</v>
      </c>
      <c r="B11" s="132" t="s">
        <v>263</v>
      </c>
      <c r="C11" s="103"/>
      <c r="D11" s="103"/>
      <c r="E11" s="121"/>
      <c r="F11" s="122"/>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5"/>
      <c r="FO11" s="85"/>
      <c r="FP11" s="85"/>
      <c r="FQ11" s="85"/>
      <c r="FR11" s="85"/>
      <c r="FS11" s="85"/>
      <c r="FT11" s="85"/>
      <c r="FU11" s="85"/>
      <c r="FV11" s="85"/>
      <c r="FW11" s="85"/>
      <c r="FX11" s="85"/>
      <c r="FY11" s="85"/>
      <c r="FZ11" s="85"/>
      <c r="GA11" s="85"/>
      <c r="GB11" s="85"/>
      <c r="GC11" s="85"/>
      <c r="GD11" s="85"/>
      <c r="GE11" s="85"/>
      <c r="GF11" s="85"/>
      <c r="GG11" s="85"/>
      <c r="GH11" s="85"/>
      <c r="GI11" s="85"/>
      <c r="GJ11" s="85"/>
      <c r="GK11" s="85"/>
      <c r="GL11" s="85"/>
      <c r="GM11" s="85"/>
      <c r="GN11" s="85"/>
      <c r="GO11" s="85"/>
      <c r="GP11" s="85"/>
      <c r="GQ11" s="85"/>
      <c r="GR11" s="85"/>
      <c r="GS11" s="85"/>
      <c r="GT11" s="85"/>
      <c r="GU11" s="85"/>
      <c r="GV11" s="85"/>
      <c r="GW11" s="85"/>
      <c r="GX11" s="85"/>
      <c r="GY11" s="85"/>
      <c r="GZ11" s="85"/>
      <c r="HA11" s="85"/>
      <c r="HB11" s="85"/>
      <c r="HC11" s="85"/>
      <c r="HD11" s="85"/>
      <c r="HE11" s="85"/>
      <c r="HF11" s="85"/>
      <c r="HG11" s="85"/>
      <c r="HH11" s="85"/>
      <c r="HI11" s="85"/>
      <c r="HJ11" s="85"/>
      <c r="HK11" s="85"/>
      <c r="HL11" s="85"/>
      <c r="HM11" s="85"/>
      <c r="HN11" s="85"/>
      <c r="HO11" s="85"/>
      <c r="HP11" s="85"/>
      <c r="HQ11" s="85"/>
      <c r="HR11" s="85"/>
      <c r="HS11" s="85"/>
      <c r="HT11" s="85"/>
      <c r="HU11" s="85"/>
    </row>
    <row r="12" spans="1:229" ht="28.8" hidden="1" x14ac:dyDescent="0.3">
      <c r="A12" s="126"/>
      <c r="B12" s="127" t="s">
        <v>264</v>
      </c>
      <c r="C12" s="103"/>
      <c r="D12" s="103"/>
      <c r="E12" s="121"/>
      <c r="F12" s="122"/>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row>
    <row r="13" spans="1:229" hidden="1" x14ac:dyDescent="0.3">
      <c r="A13" s="126" t="s">
        <v>403</v>
      </c>
      <c r="B13" s="127" t="s">
        <v>344</v>
      </c>
      <c r="C13" s="102" t="s">
        <v>9</v>
      </c>
      <c r="D13" s="102">
        <v>26</v>
      </c>
      <c r="E13" s="121"/>
      <c r="F13" s="129"/>
    </row>
    <row r="14" spans="1:229" hidden="1" x14ac:dyDescent="0.3">
      <c r="A14" s="126" t="s">
        <v>404</v>
      </c>
      <c r="B14" s="127" t="s">
        <v>345</v>
      </c>
      <c r="C14" s="102" t="s">
        <v>9</v>
      </c>
      <c r="D14" s="102">
        <v>2</v>
      </c>
      <c r="E14" s="121"/>
      <c r="F14" s="129"/>
    </row>
    <row r="15" spans="1:229" ht="28.8" hidden="1" x14ac:dyDescent="0.3">
      <c r="A15" s="126" t="s">
        <v>405</v>
      </c>
      <c r="B15" s="127" t="s">
        <v>346</v>
      </c>
      <c r="C15" s="102" t="s">
        <v>9</v>
      </c>
      <c r="D15" s="102">
        <v>48</v>
      </c>
      <c r="E15" s="121"/>
      <c r="F15" s="129"/>
    </row>
    <row r="16" spans="1:229" hidden="1" x14ac:dyDescent="0.3">
      <c r="A16" s="126" t="s">
        <v>406</v>
      </c>
      <c r="B16" s="128" t="s">
        <v>347</v>
      </c>
      <c r="C16" s="102" t="s">
        <v>8</v>
      </c>
      <c r="D16" s="102">
        <v>2</v>
      </c>
      <c r="E16" s="121"/>
      <c r="F16" s="129"/>
    </row>
    <row r="17" spans="1:18" x14ac:dyDescent="0.3">
      <c r="A17" s="126"/>
      <c r="B17" s="133"/>
      <c r="C17" s="103"/>
      <c r="D17" s="103"/>
      <c r="E17" s="121"/>
      <c r="F17" s="122"/>
    </row>
    <row r="18" spans="1:18" x14ac:dyDescent="0.3">
      <c r="A18" s="131">
        <v>17.3</v>
      </c>
      <c r="B18" s="134" t="s">
        <v>265</v>
      </c>
      <c r="C18" s="103"/>
      <c r="D18" s="103"/>
      <c r="E18" s="121"/>
      <c r="F18" s="122"/>
    </row>
    <row r="19" spans="1:18" ht="28.8" x14ac:dyDescent="0.3">
      <c r="A19" s="135"/>
      <c r="B19" s="133" t="s">
        <v>266</v>
      </c>
      <c r="C19" s="103"/>
      <c r="D19" s="103"/>
      <c r="E19" s="121"/>
      <c r="F19" s="122"/>
    </row>
    <row r="20" spans="1:18" ht="158.4" x14ac:dyDescent="0.3">
      <c r="A20" s="135"/>
      <c r="B20" s="127" t="s">
        <v>267</v>
      </c>
      <c r="C20" s="103"/>
      <c r="D20" s="103"/>
      <c r="E20" s="121"/>
      <c r="F20" s="122"/>
    </row>
    <row r="21" spans="1:18" ht="28.8" x14ac:dyDescent="0.3">
      <c r="A21" s="136" t="s">
        <v>407</v>
      </c>
      <c r="B21" s="133" t="s">
        <v>1063</v>
      </c>
      <c r="C21" s="102" t="s">
        <v>9</v>
      </c>
      <c r="D21" s="102">
        <v>8</v>
      </c>
      <c r="E21" s="222">
        <f>ROUNDUP(H21*$J$2,0)</f>
        <v>2850</v>
      </c>
      <c r="F21" s="222">
        <f>D21*E21</f>
        <v>22800</v>
      </c>
      <c r="G21" s="158" t="s">
        <v>881</v>
      </c>
      <c r="H21" s="157">
        <f t="shared" ref="H21" si="0">K21</f>
        <v>2850</v>
      </c>
      <c r="I21" s="158"/>
      <c r="J21" s="159"/>
      <c r="K21" s="160">
        <f>L21+M21+N21+O21+P21</f>
        <v>2850</v>
      </c>
      <c r="L21" s="160">
        <f>(250*8)+400+300</f>
        <v>2700</v>
      </c>
      <c r="M21" s="161"/>
      <c r="N21" s="160">
        <v>100</v>
      </c>
      <c r="O21" s="162"/>
      <c r="P21" s="160">
        <v>50</v>
      </c>
      <c r="Q21" s="216"/>
      <c r="R21" s="216"/>
    </row>
    <row r="22" spans="1:18" x14ac:dyDescent="0.3">
      <c r="A22" s="137"/>
      <c r="B22" s="133"/>
      <c r="C22" s="103"/>
      <c r="D22" s="103"/>
      <c r="E22" s="121"/>
      <c r="F22" s="122"/>
    </row>
    <row r="23" spans="1:18" hidden="1" x14ac:dyDescent="0.3">
      <c r="A23" s="126"/>
      <c r="B23" s="127"/>
      <c r="C23" s="102"/>
      <c r="D23" s="102"/>
      <c r="E23" s="121"/>
      <c r="F23" s="122"/>
    </row>
    <row r="24" spans="1:18" hidden="1" x14ac:dyDescent="0.3">
      <c r="A24" s="138">
        <v>17.399999999999999</v>
      </c>
      <c r="B24" s="139" t="s">
        <v>268</v>
      </c>
      <c r="C24" s="103"/>
      <c r="D24" s="103"/>
      <c r="E24" s="121"/>
      <c r="F24" s="122"/>
    </row>
    <row r="25" spans="1:18" hidden="1" x14ac:dyDescent="0.3">
      <c r="A25" s="126"/>
      <c r="B25" s="140"/>
      <c r="C25" s="103"/>
      <c r="D25" s="103"/>
      <c r="E25" s="121"/>
      <c r="F25" s="122"/>
    </row>
    <row r="26" spans="1:18" ht="28.8" hidden="1" x14ac:dyDescent="0.3">
      <c r="A26" s="126" t="s">
        <v>408</v>
      </c>
      <c r="B26" s="141" t="s">
        <v>348</v>
      </c>
      <c r="C26" s="102" t="s">
        <v>9</v>
      </c>
      <c r="D26" s="102">
        <v>1</v>
      </c>
      <c r="E26" s="121"/>
      <c r="F26" s="129"/>
    </row>
    <row r="27" spans="1:18" hidden="1" x14ac:dyDescent="0.3">
      <c r="A27" s="126"/>
      <c r="B27" s="142"/>
      <c r="C27" s="102"/>
      <c r="D27" s="102"/>
      <c r="E27" s="121"/>
      <c r="F27" s="122"/>
    </row>
    <row r="28" spans="1:18" ht="28.5" customHeight="1" thickBot="1" x14ac:dyDescent="0.35">
      <c r="A28" s="305" t="s">
        <v>269</v>
      </c>
      <c r="B28" s="306"/>
      <c r="C28" s="306"/>
      <c r="D28" s="306"/>
      <c r="E28" s="306"/>
      <c r="F28" s="143">
        <f>SUM(F4:F27)</f>
        <v>22800</v>
      </c>
    </row>
    <row r="29" spans="1:18" ht="22.8" x14ac:dyDescent="0.3">
      <c r="G29" s="158" t="s">
        <v>881</v>
      </c>
      <c r="H29" s="157">
        <f t="shared" ref="H29" si="1">K29</f>
        <v>18000.009999999998</v>
      </c>
      <c r="I29" s="158"/>
      <c r="J29" s="159"/>
      <c r="K29" s="160">
        <f>L29+M29+N29+O29+P29</f>
        <v>18000.009999999998</v>
      </c>
      <c r="L29" s="160">
        <v>134.5</v>
      </c>
      <c r="M29" s="161">
        <v>10719.3</v>
      </c>
      <c r="N29" s="160">
        <v>893.28</v>
      </c>
      <c r="O29" s="162">
        <v>5359.65</v>
      </c>
      <c r="P29" s="160">
        <v>893.28</v>
      </c>
      <c r="Q29" s="216"/>
      <c r="R29" s="216"/>
    </row>
  </sheetData>
  <protectedRanges>
    <protectedRange sqref="F21" name="Range1"/>
  </protectedRanges>
  <mergeCells count="3">
    <mergeCell ref="A1:F1"/>
    <mergeCell ref="A2:F2"/>
    <mergeCell ref="A28:E28"/>
  </mergeCells>
  <printOptions horizontalCentered="1"/>
  <pageMargins left="0.35" right="0.24" top="0.5" bottom="0.75" header="0.3" footer="0.3"/>
  <pageSetup paperSize="9" scale="45"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D4E50-B7C6-4473-A27C-C1D3430FE2ED}">
  <sheetPr codeName="Sheet3"/>
  <dimension ref="A1:R68"/>
  <sheetViews>
    <sheetView view="pageBreakPreview" zoomScale="85" zoomScaleNormal="100" zoomScaleSheetLayoutView="85" workbookViewId="0">
      <pane xSplit="5" ySplit="3" topLeftCell="F4" activePane="bottomRight" state="frozen"/>
      <selection pane="topRight" activeCell="F1" sqref="F1"/>
      <selection pane="bottomLeft" activeCell="A4" sqref="A4"/>
      <selection pane="bottomRight" activeCell="N33" sqref="N33"/>
    </sheetView>
  </sheetViews>
  <sheetFormatPr defaultRowHeight="14.4" x14ac:dyDescent="0.3"/>
  <cols>
    <col min="1" max="1" width="13.21875" style="197" customWidth="1"/>
    <col min="2" max="2" width="13.6640625" style="197" customWidth="1"/>
    <col min="3" max="3" width="51.109375" style="197" bestFit="1" customWidth="1"/>
    <col min="4" max="5" width="13.6640625" style="197" customWidth="1"/>
    <col min="6" max="6" width="17.44140625" style="197" bestFit="1" customWidth="1"/>
    <col min="7" max="9" width="13.6640625" style="197" customWidth="1"/>
    <col min="10" max="10" width="14.5546875" style="197" customWidth="1"/>
    <col min="11" max="11" width="14.21875" style="197" customWidth="1"/>
    <col min="12" max="17" width="14.5546875" style="197" customWidth="1"/>
    <col min="18" max="18" width="16.33203125" style="197" bestFit="1" customWidth="1"/>
    <col min="19" max="16384" width="8.88671875" style="197"/>
  </cols>
  <sheetData>
    <row r="1" spans="1:18" ht="27.6" x14ac:dyDescent="0.3">
      <c r="A1" s="208" t="s">
        <v>671</v>
      </c>
      <c r="B1" s="208" t="s">
        <v>672</v>
      </c>
      <c r="C1" s="208" t="s">
        <v>673</v>
      </c>
      <c r="D1" s="208" t="s">
        <v>674</v>
      </c>
      <c r="E1" s="208" t="s">
        <v>675</v>
      </c>
      <c r="F1" s="208" t="s">
        <v>676</v>
      </c>
      <c r="G1" s="208" t="s">
        <v>677</v>
      </c>
      <c r="H1" s="208" t="s">
        <v>678</v>
      </c>
      <c r="I1" s="208" t="s">
        <v>679</v>
      </c>
      <c r="J1" s="208" t="s">
        <v>680</v>
      </c>
      <c r="K1" s="208" t="s">
        <v>681</v>
      </c>
      <c r="L1" s="208" t="s">
        <v>682</v>
      </c>
      <c r="M1" s="208" t="s">
        <v>1006</v>
      </c>
      <c r="N1" s="208" t="s">
        <v>1005</v>
      </c>
      <c r="O1" s="208" t="s">
        <v>683</v>
      </c>
      <c r="P1" s="208" t="s">
        <v>684</v>
      </c>
      <c r="Q1" s="208" t="s">
        <v>685</v>
      </c>
      <c r="R1" s="208" t="s">
        <v>686</v>
      </c>
    </row>
    <row r="2" spans="1:18" x14ac:dyDescent="0.3">
      <c r="A2" s="214"/>
      <c r="B2" s="214"/>
      <c r="C2" s="214"/>
      <c r="D2" s="214"/>
      <c r="E2" s="214"/>
      <c r="F2" s="214"/>
      <c r="G2" s="214"/>
      <c r="H2" s="214"/>
      <c r="I2" s="214"/>
      <c r="J2" s="214"/>
      <c r="K2" s="214"/>
      <c r="L2" s="214"/>
      <c r="M2" s="214"/>
      <c r="N2" s="214"/>
      <c r="O2" s="214"/>
      <c r="P2" s="214"/>
      <c r="Q2" s="214"/>
      <c r="R2" s="214"/>
    </row>
    <row r="3" spans="1:18" hidden="1" x14ac:dyDescent="0.3">
      <c r="A3" s="206" t="s">
        <v>687</v>
      </c>
      <c r="B3" s="215"/>
      <c r="C3" s="215"/>
      <c r="D3" s="215"/>
      <c r="E3" s="215"/>
      <c r="F3" s="215"/>
      <c r="G3" s="215"/>
      <c r="H3" s="215"/>
      <c r="I3" s="215"/>
      <c r="J3" s="215"/>
      <c r="K3" s="215"/>
      <c r="L3" s="215"/>
      <c r="M3" s="215"/>
      <c r="N3" s="215"/>
      <c r="O3" s="215"/>
      <c r="P3" s="215"/>
      <c r="Q3" s="215"/>
      <c r="R3" s="215"/>
    </row>
    <row r="4" spans="1:18" hidden="1" x14ac:dyDescent="0.3">
      <c r="A4" s="199">
        <v>1</v>
      </c>
      <c r="B4" s="199" t="s">
        <v>688</v>
      </c>
      <c r="C4" s="199" t="s">
        <v>689</v>
      </c>
      <c r="D4" s="201">
        <v>1</v>
      </c>
      <c r="E4" s="199" t="s">
        <v>582</v>
      </c>
      <c r="F4" s="199" t="s">
        <v>690</v>
      </c>
      <c r="G4" s="202">
        <v>11880</v>
      </c>
      <c r="H4" s="199" t="s">
        <v>691</v>
      </c>
      <c r="I4" s="201">
        <v>1</v>
      </c>
      <c r="J4" s="203">
        <v>1980</v>
      </c>
      <c r="K4" s="204">
        <f>Table6[[#This Row],[سعر/م]]*Table6[[#This Row],[طول/وحدة
(م)]]</f>
        <v>1980</v>
      </c>
      <c r="L4" s="199" t="s">
        <v>692</v>
      </c>
      <c r="M4" s="201">
        <v>1</v>
      </c>
      <c r="N4" s="203">
        <v>1980</v>
      </c>
      <c r="O4" s="204">
        <f>Table6[[#This Row],[سعر/م.ط]]*Table6[[#This Row],[طول/وحدة
(م.ط]]</f>
        <v>1980</v>
      </c>
      <c r="P4" s="203">
        <v>3960</v>
      </c>
      <c r="Q4" s="205">
        <f>Table6[[#This Row],[تثبيت
وتوصيل]]+Table6[[#This Row],[إجمالي
سلك/وحدة]]+Table6[[#This Row],[إجمالي
ماسورة/وحدة]]+Table6[[#This Row],[سعر العلبة
/وحدة]]</f>
        <v>19800</v>
      </c>
      <c r="R4" s="205">
        <f>Table6[[#This Row],[★الوحدة]]*Table6[[#This Row],[الكمية]]</f>
        <v>19800</v>
      </c>
    </row>
    <row r="5" spans="1:18" hidden="1" x14ac:dyDescent="0.3">
      <c r="A5" s="199">
        <v>2</v>
      </c>
      <c r="B5" s="199" t="s">
        <v>693</v>
      </c>
      <c r="C5" s="199" t="s">
        <v>694</v>
      </c>
      <c r="D5" s="201">
        <v>1</v>
      </c>
      <c r="E5" s="199" t="s">
        <v>582</v>
      </c>
      <c r="F5" s="199" t="s">
        <v>690</v>
      </c>
      <c r="G5" s="202">
        <v>10560</v>
      </c>
      <c r="H5" s="199" t="s">
        <v>691</v>
      </c>
      <c r="I5" s="201">
        <v>1</v>
      </c>
      <c r="J5" s="203">
        <v>1760</v>
      </c>
      <c r="K5" s="204">
        <f>Table6[[#This Row],[سعر/م]]*Table6[[#This Row],[طول/وحدة
(م)]]</f>
        <v>1760</v>
      </c>
      <c r="L5" s="199" t="s">
        <v>692</v>
      </c>
      <c r="M5" s="201">
        <v>1</v>
      </c>
      <c r="N5" s="203">
        <v>1760</v>
      </c>
      <c r="O5" s="204">
        <f>Table6[[#This Row],[سعر/م.ط]]*Table6[[#This Row],[طول/وحدة
(م.ط]]</f>
        <v>1760</v>
      </c>
      <c r="P5" s="203">
        <v>3520</v>
      </c>
      <c r="Q5" s="205">
        <f>Table6[[#This Row],[تثبيت
وتوصيل]]+Table6[[#This Row],[إجمالي
سلك/وحدة]]+Table6[[#This Row],[إجمالي
ماسورة/وحدة]]+Table6[[#This Row],[سعر العلبة
/وحدة]]</f>
        <v>17600</v>
      </c>
      <c r="R5" s="205">
        <f>Table6[[#This Row],[★الوحدة]]*Table6[[#This Row],[الكمية]]</f>
        <v>17600</v>
      </c>
    </row>
    <row r="6" spans="1:18" hidden="1" x14ac:dyDescent="0.3">
      <c r="A6" s="199">
        <v>3</v>
      </c>
      <c r="B6" s="199" t="s">
        <v>695</v>
      </c>
      <c r="C6" s="199" t="s">
        <v>696</v>
      </c>
      <c r="D6" s="201">
        <v>1</v>
      </c>
      <c r="E6" s="199" t="s">
        <v>582</v>
      </c>
      <c r="F6" s="199" t="s">
        <v>690</v>
      </c>
      <c r="G6" s="202">
        <v>9240</v>
      </c>
      <c r="H6" s="199" t="s">
        <v>691</v>
      </c>
      <c r="I6" s="201">
        <v>1</v>
      </c>
      <c r="J6" s="203">
        <v>1540</v>
      </c>
      <c r="K6" s="204">
        <f>Table6[[#This Row],[سعر/م]]*Table6[[#This Row],[طول/وحدة
(م)]]</f>
        <v>1540</v>
      </c>
      <c r="L6" s="199" t="s">
        <v>692</v>
      </c>
      <c r="M6" s="201">
        <v>1</v>
      </c>
      <c r="N6" s="203">
        <v>1540</v>
      </c>
      <c r="O6" s="204">
        <f>Table6[[#This Row],[سعر/م.ط]]*Table6[[#This Row],[طول/وحدة
(م.ط]]</f>
        <v>1540</v>
      </c>
      <c r="P6" s="203">
        <v>3080</v>
      </c>
      <c r="Q6" s="205">
        <f>Table6[[#This Row],[تثبيت
وتوصيل]]+Table6[[#This Row],[إجمالي
سلك/وحدة]]+Table6[[#This Row],[إجمالي
ماسورة/وحدة]]+Table6[[#This Row],[سعر العلبة
/وحدة]]</f>
        <v>15400</v>
      </c>
      <c r="R6" s="205">
        <f>Table6[[#This Row],[★الوحدة]]*Table6[[#This Row],[الكمية]]</f>
        <v>15400</v>
      </c>
    </row>
    <row r="7" spans="1:18" hidden="1" x14ac:dyDescent="0.3">
      <c r="A7" s="199">
        <v>4</v>
      </c>
      <c r="B7" s="199" t="s">
        <v>697</v>
      </c>
      <c r="C7" s="199" t="s">
        <v>698</v>
      </c>
      <c r="D7" s="201">
        <v>1</v>
      </c>
      <c r="E7" s="199" t="s">
        <v>582</v>
      </c>
      <c r="F7" s="199" t="s">
        <v>690</v>
      </c>
      <c r="G7" s="202">
        <v>7920</v>
      </c>
      <c r="H7" s="199" t="s">
        <v>691</v>
      </c>
      <c r="I7" s="201">
        <v>1</v>
      </c>
      <c r="J7" s="203">
        <v>1320</v>
      </c>
      <c r="K7" s="204">
        <f>Table6[[#This Row],[سعر/م]]*Table6[[#This Row],[طول/وحدة
(م)]]</f>
        <v>1320</v>
      </c>
      <c r="L7" s="199" t="s">
        <v>692</v>
      </c>
      <c r="M7" s="201">
        <v>1</v>
      </c>
      <c r="N7" s="203">
        <v>1320</v>
      </c>
      <c r="O7" s="204">
        <f>Table6[[#This Row],[سعر/م.ط]]*Table6[[#This Row],[طول/وحدة
(م.ط]]</f>
        <v>1320</v>
      </c>
      <c r="P7" s="203">
        <v>2640</v>
      </c>
      <c r="Q7" s="205">
        <f>Table6[[#This Row],[تثبيت
وتوصيل]]+Table6[[#This Row],[إجمالي
سلك/وحدة]]+Table6[[#This Row],[إجمالي
ماسورة/وحدة]]+Table6[[#This Row],[سعر العلبة
/وحدة]]</f>
        <v>13200</v>
      </c>
      <c r="R7" s="205">
        <f>Table6[[#This Row],[★الوحدة]]*Table6[[#This Row],[الكمية]]</f>
        <v>13200</v>
      </c>
    </row>
    <row r="8" spans="1:18" hidden="1" x14ac:dyDescent="0.3">
      <c r="A8" s="199">
        <v>5</v>
      </c>
      <c r="B8" s="199" t="s">
        <v>699</v>
      </c>
      <c r="C8" s="199" t="s">
        <v>700</v>
      </c>
      <c r="D8" s="201">
        <v>1</v>
      </c>
      <c r="E8" s="199" t="s">
        <v>582</v>
      </c>
      <c r="F8" s="199" t="s">
        <v>690</v>
      </c>
      <c r="G8" s="202">
        <v>7260</v>
      </c>
      <c r="H8" s="199" t="s">
        <v>691</v>
      </c>
      <c r="I8" s="201">
        <v>1</v>
      </c>
      <c r="J8" s="203">
        <v>1210</v>
      </c>
      <c r="K8" s="204">
        <f>Table6[[#This Row],[سعر/م]]*Table6[[#This Row],[طول/وحدة
(م)]]</f>
        <v>1210</v>
      </c>
      <c r="L8" s="199" t="s">
        <v>692</v>
      </c>
      <c r="M8" s="201">
        <v>1</v>
      </c>
      <c r="N8" s="203">
        <v>1210</v>
      </c>
      <c r="O8" s="204">
        <f>Table6[[#This Row],[سعر/م.ط]]*Table6[[#This Row],[طول/وحدة
(م.ط]]</f>
        <v>1210</v>
      </c>
      <c r="P8" s="203">
        <v>2420</v>
      </c>
      <c r="Q8" s="205">
        <f>Table6[[#This Row],[تثبيت
وتوصيل]]+Table6[[#This Row],[إجمالي
سلك/وحدة]]+Table6[[#This Row],[إجمالي
ماسورة/وحدة]]+Table6[[#This Row],[سعر العلبة
/وحدة]]</f>
        <v>12100</v>
      </c>
      <c r="R8" s="205">
        <f>Table6[[#This Row],[★الوحدة]]*Table6[[#This Row],[الكمية]]</f>
        <v>12100</v>
      </c>
    </row>
    <row r="9" spans="1:18" hidden="1" x14ac:dyDescent="0.3">
      <c r="A9" s="199">
        <v>6</v>
      </c>
      <c r="B9" s="199" t="s">
        <v>701</v>
      </c>
      <c r="C9" s="199" t="s">
        <v>702</v>
      </c>
      <c r="D9" s="201">
        <v>1</v>
      </c>
      <c r="E9" s="199" t="s">
        <v>582</v>
      </c>
      <c r="F9" s="199" t="s">
        <v>690</v>
      </c>
      <c r="G9" s="202">
        <v>6270</v>
      </c>
      <c r="H9" s="199" t="s">
        <v>691</v>
      </c>
      <c r="I9" s="201">
        <v>1</v>
      </c>
      <c r="J9" s="203">
        <v>1045</v>
      </c>
      <c r="K9" s="204">
        <f>Table6[[#This Row],[سعر/م]]*Table6[[#This Row],[طول/وحدة
(م)]]</f>
        <v>1045</v>
      </c>
      <c r="L9" s="199" t="s">
        <v>692</v>
      </c>
      <c r="M9" s="201">
        <v>1</v>
      </c>
      <c r="N9" s="203">
        <v>1045</v>
      </c>
      <c r="O9" s="204">
        <f>Table6[[#This Row],[سعر/م.ط]]*Table6[[#This Row],[طول/وحدة
(م.ط]]</f>
        <v>1045</v>
      </c>
      <c r="P9" s="203">
        <v>2090</v>
      </c>
      <c r="Q9" s="205">
        <f>Table6[[#This Row],[تثبيت
وتوصيل]]+Table6[[#This Row],[إجمالي
سلك/وحدة]]+Table6[[#This Row],[إجمالي
ماسورة/وحدة]]+Table6[[#This Row],[سعر العلبة
/وحدة]]</f>
        <v>10450</v>
      </c>
      <c r="R9" s="205">
        <f>Table6[[#This Row],[★الوحدة]]*Table6[[#This Row],[الكمية]]</f>
        <v>10450</v>
      </c>
    </row>
    <row r="10" spans="1:18" hidden="1" x14ac:dyDescent="0.3">
      <c r="A10" s="199">
        <v>7</v>
      </c>
      <c r="B10" s="199" t="s">
        <v>703</v>
      </c>
      <c r="C10" s="199" t="s">
        <v>704</v>
      </c>
      <c r="D10" s="201">
        <v>1</v>
      </c>
      <c r="E10" s="199" t="s">
        <v>582</v>
      </c>
      <c r="F10" s="199" t="s">
        <v>690</v>
      </c>
      <c r="G10" s="202">
        <v>5610</v>
      </c>
      <c r="H10" s="199" t="s">
        <v>691</v>
      </c>
      <c r="I10" s="201">
        <v>1</v>
      </c>
      <c r="J10" s="203">
        <v>935</v>
      </c>
      <c r="K10" s="204">
        <f>Table6[[#This Row],[سعر/م]]*Table6[[#This Row],[طول/وحدة
(م)]]</f>
        <v>935</v>
      </c>
      <c r="L10" s="199" t="s">
        <v>692</v>
      </c>
      <c r="M10" s="201">
        <v>1</v>
      </c>
      <c r="N10" s="203">
        <v>935</v>
      </c>
      <c r="O10" s="204">
        <f>Table6[[#This Row],[سعر/م.ط]]*Table6[[#This Row],[طول/وحدة
(م.ط]]</f>
        <v>935</v>
      </c>
      <c r="P10" s="203">
        <v>1870</v>
      </c>
      <c r="Q10" s="205">
        <f>Table6[[#This Row],[تثبيت
وتوصيل]]+Table6[[#This Row],[إجمالي
سلك/وحدة]]+Table6[[#This Row],[إجمالي
ماسورة/وحدة]]+Table6[[#This Row],[سعر العلبة
/وحدة]]</f>
        <v>9350</v>
      </c>
      <c r="R10" s="205">
        <f>Table6[[#This Row],[★الوحدة]]*Table6[[#This Row],[الكمية]]</f>
        <v>9350</v>
      </c>
    </row>
    <row r="11" spans="1:18" hidden="1" x14ac:dyDescent="0.3">
      <c r="A11" s="199">
        <v>8</v>
      </c>
      <c r="B11" s="199" t="s">
        <v>705</v>
      </c>
      <c r="C11" s="199" t="s">
        <v>706</v>
      </c>
      <c r="D11" s="201">
        <v>1</v>
      </c>
      <c r="E11" s="199" t="s">
        <v>582</v>
      </c>
      <c r="F11" s="199" t="s">
        <v>690</v>
      </c>
      <c r="G11" s="202">
        <v>14520</v>
      </c>
      <c r="H11" s="199" t="s">
        <v>691</v>
      </c>
      <c r="I11" s="201">
        <v>1</v>
      </c>
      <c r="J11" s="203">
        <v>2420</v>
      </c>
      <c r="K11" s="204">
        <f>Table6[[#This Row],[سعر/م]]*Table6[[#This Row],[طول/وحدة
(م)]]</f>
        <v>2420</v>
      </c>
      <c r="L11" s="199" t="s">
        <v>692</v>
      </c>
      <c r="M11" s="201">
        <v>1</v>
      </c>
      <c r="N11" s="203">
        <v>2420</v>
      </c>
      <c r="O11" s="204">
        <f>Table6[[#This Row],[سعر/م.ط]]*Table6[[#This Row],[طول/وحدة
(م.ط]]</f>
        <v>2420</v>
      </c>
      <c r="P11" s="203">
        <v>4840</v>
      </c>
      <c r="Q11" s="205">
        <f>Table6[[#This Row],[تثبيت
وتوصيل]]+Table6[[#This Row],[إجمالي
سلك/وحدة]]+Table6[[#This Row],[إجمالي
ماسورة/وحدة]]+Table6[[#This Row],[سعر العلبة
/وحدة]]</f>
        <v>24200</v>
      </c>
      <c r="R11" s="205">
        <f>Table6[[#This Row],[★الوحدة]]*Table6[[#This Row],[الكمية]]</f>
        <v>24200</v>
      </c>
    </row>
    <row r="12" spans="1:18" hidden="1" x14ac:dyDescent="0.3">
      <c r="A12" s="214"/>
      <c r="B12" s="214"/>
      <c r="C12" s="214"/>
      <c r="D12" s="214"/>
      <c r="E12" s="214"/>
      <c r="F12" s="214"/>
      <c r="G12" s="214"/>
      <c r="H12" s="214"/>
      <c r="I12" s="214"/>
      <c r="J12" s="214"/>
      <c r="K12" s="214"/>
      <c r="L12" s="214"/>
      <c r="M12" s="214"/>
      <c r="N12" s="214"/>
      <c r="O12" s="214"/>
      <c r="P12" s="214"/>
      <c r="Q12" s="214"/>
      <c r="R12" s="214"/>
    </row>
    <row r="13" spans="1:18" hidden="1" x14ac:dyDescent="0.3">
      <c r="A13" s="235" t="s">
        <v>707</v>
      </c>
      <c r="B13" s="215"/>
      <c r="C13" s="215"/>
      <c r="D13" s="215"/>
      <c r="E13" s="215"/>
      <c r="F13" s="215"/>
      <c r="G13" s="215"/>
      <c r="H13" s="215"/>
      <c r="I13" s="215"/>
      <c r="J13" s="235"/>
      <c r="K13" s="215"/>
      <c r="L13" s="215"/>
      <c r="M13" s="215"/>
      <c r="N13" s="215"/>
      <c r="O13" s="215"/>
      <c r="P13" s="215"/>
      <c r="Q13" s="215"/>
      <c r="R13" s="215"/>
    </row>
    <row r="14" spans="1:18" hidden="1" x14ac:dyDescent="0.3">
      <c r="A14" s="199">
        <v>9</v>
      </c>
      <c r="B14" s="199" t="s">
        <v>708</v>
      </c>
      <c r="C14" s="199" t="s">
        <v>709</v>
      </c>
      <c r="D14" s="201">
        <v>1000</v>
      </c>
      <c r="E14" s="199" t="s">
        <v>587</v>
      </c>
      <c r="F14" s="199" t="s">
        <v>710</v>
      </c>
      <c r="G14" s="202">
        <v>51.424999999999997</v>
      </c>
      <c r="H14" s="199" t="s">
        <v>711</v>
      </c>
      <c r="I14" s="201">
        <v>1</v>
      </c>
      <c r="J14" s="203">
        <v>3.0249999999999999</v>
      </c>
      <c r="K14" s="204">
        <f>Table6[[#This Row],[سعر/م]]*Table6[[#This Row],[طول/وحدة
(م)]]</f>
        <v>3.0249999999999999</v>
      </c>
      <c r="L14" s="199" t="s">
        <v>1003</v>
      </c>
      <c r="M14" s="201">
        <v>1</v>
      </c>
      <c r="N14" s="203">
        <v>3.0249999999999999</v>
      </c>
      <c r="O14" s="204">
        <f>Table6[[#This Row],[سعر/م.ط]]*Table6[[#This Row],[طول/وحدة
(م.ط]]</f>
        <v>3.0249999999999999</v>
      </c>
      <c r="P14" s="203">
        <v>3.0249999999999999</v>
      </c>
      <c r="Q14" s="205"/>
      <c r="R14" s="205"/>
    </row>
    <row r="15" spans="1:18" hidden="1" x14ac:dyDescent="0.3">
      <c r="A15" s="199">
        <v>10</v>
      </c>
      <c r="B15" s="199" t="s">
        <v>712</v>
      </c>
      <c r="C15" s="199" t="s">
        <v>713</v>
      </c>
      <c r="D15" s="201">
        <v>1000</v>
      </c>
      <c r="E15" s="199" t="s">
        <v>587</v>
      </c>
      <c r="F15" s="199" t="s">
        <v>710</v>
      </c>
      <c r="G15" s="202">
        <v>172.97499999999999</v>
      </c>
      <c r="H15" s="199" t="s">
        <v>711</v>
      </c>
      <c r="I15" s="201">
        <v>1</v>
      </c>
      <c r="J15" s="203">
        <v>10.175000000000001</v>
      </c>
      <c r="K15" s="204">
        <f>Table6[[#This Row],[سعر/م]]*Table6[[#This Row],[طول/وحدة
(م)]]</f>
        <v>10.175000000000001</v>
      </c>
      <c r="L15" s="199" t="s">
        <v>1003</v>
      </c>
      <c r="M15" s="201">
        <v>1</v>
      </c>
      <c r="N15" s="203">
        <v>10.175000000000001</v>
      </c>
      <c r="O15" s="204">
        <f>Table6[[#This Row],[سعر/م.ط]]*Table6[[#This Row],[طول/وحدة
(م.ط]]</f>
        <v>10.175000000000001</v>
      </c>
      <c r="P15" s="203">
        <v>10.175000000000001</v>
      </c>
      <c r="Q15" s="205"/>
      <c r="R15" s="205"/>
    </row>
    <row r="16" spans="1:18" hidden="1" x14ac:dyDescent="0.3">
      <c r="A16" s="199">
        <v>11</v>
      </c>
      <c r="B16" s="199" t="s">
        <v>714</v>
      </c>
      <c r="C16" s="199" t="s">
        <v>715</v>
      </c>
      <c r="D16" s="201">
        <v>400</v>
      </c>
      <c r="E16" s="199" t="s">
        <v>587</v>
      </c>
      <c r="F16" s="199" t="s">
        <v>710</v>
      </c>
      <c r="G16" s="202">
        <v>243.1</v>
      </c>
      <c r="H16" s="199" t="s">
        <v>711</v>
      </c>
      <c r="I16" s="201">
        <v>1</v>
      </c>
      <c r="J16" s="203">
        <v>14.3</v>
      </c>
      <c r="K16" s="204">
        <f>Table6[[#This Row],[سعر/م]]*Table6[[#This Row],[طول/وحدة
(م)]]</f>
        <v>14.3</v>
      </c>
      <c r="L16" s="199" t="s">
        <v>1003</v>
      </c>
      <c r="M16" s="201">
        <v>1</v>
      </c>
      <c r="N16" s="203">
        <v>14.3</v>
      </c>
      <c r="O16" s="204">
        <f>Table6[[#This Row],[سعر/م.ط]]*Table6[[#This Row],[طول/وحدة
(م.ط]]</f>
        <v>14.3</v>
      </c>
      <c r="P16" s="203">
        <v>14.3</v>
      </c>
      <c r="Q16" s="205"/>
      <c r="R16" s="205"/>
    </row>
    <row r="17" spans="1:18" hidden="1" x14ac:dyDescent="0.3">
      <c r="A17" s="199">
        <v>12</v>
      </c>
      <c r="B17" s="199" t="s">
        <v>716</v>
      </c>
      <c r="C17" s="199" t="s">
        <v>717</v>
      </c>
      <c r="D17" s="201">
        <v>1000</v>
      </c>
      <c r="E17" s="199" t="s">
        <v>587</v>
      </c>
      <c r="F17" s="199" t="s">
        <v>710</v>
      </c>
      <c r="G17" s="202">
        <v>16.829999999999998</v>
      </c>
      <c r="H17" s="199" t="s">
        <v>711</v>
      </c>
      <c r="I17" s="201">
        <v>1</v>
      </c>
      <c r="J17" s="203">
        <v>0.99</v>
      </c>
      <c r="K17" s="204">
        <f>Table6[[#This Row],[سعر/م]]*Table6[[#This Row],[طول/وحدة
(م)]]</f>
        <v>0.99</v>
      </c>
      <c r="L17" s="199" t="s">
        <v>1003</v>
      </c>
      <c r="M17" s="201">
        <v>1</v>
      </c>
      <c r="N17" s="203">
        <v>0.99</v>
      </c>
      <c r="O17" s="204">
        <f>Table6[[#This Row],[سعر/م.ط]]*Table6[[#This Row],[طول/وحدة
(م.ط]]</f>
        <v>0.99</v>
      </c>
      <c r="P17" s="203">
        <v>0.99</v>
      </c>
      <c r="Q17" s="205"/>
      <c r="R17" s="205"/>
    </row>
    <row r="18" spans="1:18" hidden="1" x14ac:dyDescent="0.3">
      <c r="A18" s="199">
        <v>13</v>
      </c>
      <c r="B18" s="199" t="s">
        <v>718</v>
      </c>
      <c r="C18" s="199" t="s">
        <v>719</v>
      </c>
      <c r="D18" s="201">
        <v>1000</v>
      </c>
      <c r="E18" s="199" t="s">
        <v>587</v>
      </c>
      <c r="F18" s="199" t="s">
        <v>710</v>
      </c>
      <c r="G18" s="202">
        <v>26.18</v>
      </c>
      <c r="H18" s="199" t="s">
        <v>711</v>
      </c>
      <c r="I18" s="201">
        <v>1</v>
      </c>
      <c r="J18" s="203">
        <v>1.54</v>
      </c>
      <c r="K18" s="204">
        <f>Table6[[#This Row],[سعر/م]]*Table6[[#This Row],[طول/وحدة
(م)]]</f>
        <v>1.54</v>
      </c>
      <c r="L18" s="199" t="s">
        <v>1003</v>
      </c>
      <c r="M18" s="201">
        <v>1</v>
      </c>
      <c r="N18" s="203">
        <v>1.54</v>
      </c>
      <c r="O18" s="204">
        <f>Table6[[#This Row],[سعر/م.ط]]*Table6[[#This Row],[طول/وحدة
(م.ط]]</f>
        <v>1.54</v>
      </c>
      <c r="P18" s="203">
        <v>1.54</v>
      </c>
      <c r="Q18" s="205"/>
      <c r="R18" s="205"/>
    </row>
    <row r="19" spans="1:18" hidden="1" x14ac:dyDescent="0.3">
      <c r="A19" s="199">
        <v>14</v>
      </c>
      <c r="B19" s="199" t="s">
        <v>720</v>
      </c>
      <c r="C19" s="199" t="s">
        <v>721</v>
      </c>
      <c r="D19" s="201">
        <v>400</v>
      </c>
      <c r="E19" s="199" t="s">
        <v>587</v>
      </c>
      <c r="F19" s="199" t="s">
        <v>710</v>
      </c>
      <c r="G19" s="202">
        <v>39.270000000000003</v>
      </c>
      <c r="H19" s="199" t="s">
        <v>711</v>
      </c>
      <c r="I19" s="201">
        <v>1</v>
      </c>
      <c r="J19" s="203">
        <v>2.31</v>
      </c>
      <c r="K19" s="204">
        <f>Table6[[#This Row],[سعر/م]]*Table6[[#This Row],[طول/وحدة
(م)]]</f>
        <v>2.31</v>
      </c>
      <c r="L19" s="199" t="s">
        <v>1003</v>
      </c>
      <c r="M19" s="201">
        <v>1</v>
      </c>
      <c r="N19" s="203">
        <v>2.31</v>
      </c>
      <c r="O19" s="204">
        <f>Table6[[#This Row],[سعر/م.ط]]*Table6[[#This Row],[طول/وحدة
(م.ط]]</f>
        <v>2.31</v>
      </c>
      <c r="P19" s="203">
        <v>2.31</v>
      </c>
      <c r="Q19" s="205"/>
      <c r="R19" s="205"/>
    </row>
    <row r="20" spans="1:18" hidden="1" x14ac:dyDescent="0.3">
      <c r="A20" s="199">
        <v>15</v>
      </c>
      <c r="B20" s="199" t="s">
        <v>722</v>
      </c>
      <c r="C20" s="199" t="s">
        <v>723</v>
      </c>
      <c r="D20" s="201">
        <v>1</v>
      </c>
      <c r="E20" s="199" t="s">
        <v>45</v>
      </c>
      <c r="F20" s="199" t="s">
        <v>710</v>
      </c>
      <c r="G20" s="202">
        <v>7480</v>
      </c>
      <c r="H20" s="199" t="s">
        <v>711</v>
      </c>
      <c r="I20" s="201">
        <v>1</v>
      </c>
      <c r="J20" s="203">
        <v>440</v>
      </c>
      <c r="K20" s="204">
        <f>Table6[[#This Row],[سعر/م]]*Table6[[#This Row],[طول/وحدة
(م)]]</f>
        <v>440</v>
      </c>
      <c r="L20" s="199" t="s">
        <v>1003</v>
      </c>
      <c r="M20" s="201">
        <v>1</v>
      </c>
      <c r="N20" s="203">
        <v>440</v>
      </c>
      <c r="O20" s="204">
        <f>Table6[[#This Row],[سعر/م.ط]]*Table6[[#This Row],[طول/وحدة
(م.ط]]</f>
        <v>440</v>
      </c>
      <c r="P20" s="203">
        <v>440</v>
      </c>
      <c r="Q20" s="205"/>
      <c r="R20" s="205"/>
    </row>
    <row r="21" spans="1:18" hidden="1" x14ac:dyDescent="0.3">
      <c r="A21" s="214"/>
      <c r="B21" s="214"/>
      <c r="C21" s="214"/>
      <c r="D21" s="214"/>
      <c r="E21" s="214"/>
      <c r="F21" s="214"/>
      <c r="G21" s="214"/>
      <c r="H21" s="214"/>
      <c r="I21" s="214"/>
      <c r="J21" s="214"/>
      <c r="K21" s="214"/>
      <c r="L21" s="214"/>
      <c r="M21" s="214"/>
      <c r="N21" s="214"/>
      <c r="O21" s="214"/>
      <c r="P21" s="214"/>
      <c r="Q21" s="214"/>
      <c r="R21" s="214"/>
    </row>
    <row r="22" spans="1:18" x14ac:dyDescent="0.3">
      <c r="A22" s="235" t="s">
        <v>724</v>
      </c>
      <c r="B22" s="215"/>
      <c r="C22" s="215"/>
      <c r="D22" s="215"/>
      <c r="E22" s="215"/>
      <c r="F22" s="215"/>
      <c r="G22" s="215"/>
      <c r="H22" s="215"/>
      <c r="I22" s="215"/>
      <c r="J22" s="235"/>
      <c r="K22" s="215"/>
      <c r="L22" s="215"/>
      <c r="M22" s="215"/>
      <c r="N22" s="215"/>
      <c r="O22" s="215"/>
      <c r="P22" s="215"/>
      <c r="Q22" s="215"/>
      <c r="R22" s="215"/>
    </row>
    <row r="23" spans="1:18" x14ac:dyDescent="0.3">
      <c r="A23" s="245">
        <v>16</v>
      </c>
      <c r="B23" s="199" t="s">
        <v>725</v>
      </c>
      <c r="C23" s="199" t="s">
        <v>726</v>
      </c>
      <c r="D23" s="201">
        <v>327</v>
      </c>
      <c r="E23" s="199" t="s">
        <v>582</v>
      </c>
      <c r="F23" s="199"/>
      <c r="G23" s="202"/>
      <c r="H23" s="199"/>
      <c r="I23" s="201"/>
      <c r="J23" s="203"/>
      <c r="K23" s="204"/>
      <c r="L23" s="199"/>
      <c r="M23" s="201"/>
      <c r="N23" s="203"/>
      <c r="O23" s="204"/>
      <c r="P23" s="203"/>
      <c r="Q23" s="205"/>
      <c r="R23" s="205"/>
    </row>
    <row r="24" spans="1:18" x14ac:dyDescent="0.3">
      <c r="A24" s="245">
        <v>17</v>
      </c>
      <c r="B24" s="199" t="s">
        <v>730</v>
      </c>
      <c r="C24" s="199" t="s">
        <v>731</v>
      </c>
      <c r="D24" s="201">
        <v>100</v>
      </c>
      <c r="E24" s="199" t="s">
        <v>582</v>
      </c>
      <c r="F24" s="199" t="s">
        <v>991</v>
      </c>
      <c r="G24" s="202">
        <v>9</v>
      </c>
      <c r="H24" s="199" t="s">
        <v>728</v>
      </c>
      <c r="I24" s="201">
        <v>5</v>
      </c>
      <c r="J24" s="203">
        <v>3</v>
      </c>
      <c r="K24" s="204">
        <f>Table6[[#This Row],[سعر/م]]*Table6[[#This Row],[طول/وحدة
(م)]]</f>
        <v>15</v>
      </c>
      <c r="L24" s="199" t="s">
        <v>729</v>
      </c>
      <c r="M24" s="201">
        <f>Table6[[#This Row],[طول/وحدة
(م)]]*1.1</f>
        <v>5.5</v>
      </c>
      <c r="N24" s="203">
        <v>12</v>
      </c>
      <c r="O24" s="204">
        <f>Table6[[#This Row],[سعر/م.ط]]*Table6[[#This Row],[طول/وحدة
(م.ط]]</f>
        <v>66</v>
      </c>
      <c r="P24" s="203">
        <v>80</v>
      </c>
      <c r="Q24" s="205">
        <f>Table6[[#This Row],[تثبيت
وتوصيل]]+Table6[[#This Row],[إجمالي
سلك/وحدة]]+Table6[[#This Row],[إجمالي
ماسورة/وحدة]]+Table6[[#This Row],[سعر العلبة
/وحدة]]</f>
        <v>170</v>
      </c>
      <c r="R24" s="205">
        <f>Table6[[#This Row],[★الوحدة]]*Table6[[#This Row],[الكمية]]</f>
        <v>17000</v>
      </c>
    </row>
    <row r="25" spans="1:18" x14ac:dyDescent="0.3">
      <c r="A25" s="245">
        <v>18</v>
      </c>
      <c r="B25" s="199" t="s">
        <v>732</v>
      </c>
      <c r="C25" s="199" t="s">
        <v>733</v>
      </c>
      <c r="D25" s="201">
        <v>20</v>
      </c>
      <c r="E25" s="199" t="s">
        <v>582</v>
      </c>
      <c r="F25" s="199" t="s">
        <v>991</v>
      </c>
      <c r="G25" s="202">
        <v>9</v>
      </c>
      <c r="H25" s="199" t="s">
        <v>728</v>
      </c>
      <c r="I25" s="201">
        <v>10</v>
      </c>
      <c r="J25" s="203">
        <v>3</v>
      </c>
      <c r="K25" s="204">
        <f>Table6[[#This Row],[سعر/م]]*Table6[[#This Row],[طول/وحدة
(م)]]</f>
        <v>30</v>
      </c>
      <c r="L25" s="199" t="s">
        <v>729</v>
      </c>
      <c r="M25" s="201">
        <f>Table6[[#This Row],[طول/وحدة
(م)]]*1.1</f>
        <v>11</v>
      </c>
      <c r="N25" s="203">
        <v>12</v>
      </c>
      <c r="O25" s="204">
        <f>Table6[[#This Row],[سعر/م.ط]]*Table6[[#This Row],[طول/وحدة
(م.ط]]</f>
        <v>132</v>
      </c>
      <c r="P25" s="203">
        <v>80</v>
      </c>
      <c r="Q25" s="205">
        <f>Table6[[#This Row],[تثبيت
وتوصيل]]+Table6[[#This Row],[إجمالي
سلك/وحدة]]+Table6[[#This Row],[إجمالي
ماسورة/وحدة]]+Table6[[#This Row],[سعر العلبة
/وحدة]]</f>
        <v>251</v>
      </c>
      <c r="R25" s="205">
        <f>Table6[[#This Row],[★الوحدة]]*Table6[[#This Row],[الكمية]]</f>
        <v>5020</v>
      </c>
    </row>
    <row r="26" spans="1:18" x14ac:dyDescent="0.3">
      <c r="A26" s="245">
        <v>19</v>
      </c>
      <c r="B26" s="199" t="s">
        <v>734</v>
      </c>
      <c r="C26" s="199" t="s">
        <v>735</v>
      </c>
      <c r="D26" s="201">
        <v>130</v>
      </c>
      <c r="E26" s="199" t="s">
        <v>582</v>
      </c>
      <c r="F26" s="199" t="s">
        <v>991</v>
      </c>
      <c r="G26" s="202">
        <v>9</v>
      </c>
      <c r="H26" s="199" t="s">
        <v>728</v>
      </c>
      <c r="I26" s="201">
        <v>5</v>
      </c>
      <c r="J26" s="203">
        <v>3</v>
      </c>
      <c r="K26" s="204">
        <f>Table6[[#This Row],[سعر/م]]*Table6[[#This Row],[طول/وحدة
(م)]]</f>
        <v>15</v>
      </c>
      <c r="L26" s="199" t="s">
        <v>729</v>
      </c>
      <c r="M26" s="201">
        <f>Table6[[#This Row],[طول/وحدة
(م)]]*1.1</f>
        <v>5.5</v>
      </c>
      <c r="N26" s="203">
        <v>12</v>
      </c>
      <c r="O26" s="204">
        <f>Table6[[#This Row],[سعر/م.ط]]*Table6[[#This Row],[طول/وحدة
(م.ط]]</f>
        <v>66</v>
      </c>
      <c r="P26" s="203">
        <v>80</v>
      </c>
      <c r="Q26" s="205">
        <f>Table6[[#This Row],[تثبيت
وتوصيل]]+Table6[[#This Row],[إجمالي
سلك/وحدة]]+Table6[[#This Row],[إجمالي
ماسورة/وحدة]]+Table6[[#This Row],[سعر العلبة
/وحدة]]</f>
        <v>170</v>
      </c>
      <c r="R26" s="205">
        <f>Table6[[#This Row],[★الوحدة]]*Table6[[#This Row],[الكمية]]</f>
        <v>22100</v>
      </c>
    </row>
    <row r="27" spans="1:18" x14ac:dyDescent="0.3">
      <c r="A27" s="245">
        <v>20</v>
      </c>
      <c r="B27" s="199" t="s">
        <v>736</v>
      </c>
      <c r="C27" s="199" t="s">
        <v>737</v>
      </c>
      <c r="D27" s="201">
        <v>70</v>
      </c>
      <c r="E27" s="199" t="s">
        <v>582</v>
      </c>
      <c r="F27" s="199" t="s">
        <v>991</v>
      </c>
      <c r="G27" s="202">
        <v>9</v>
      </c>
      <c r="H27" s="199" t="s">
        <v>728</v>
      </c>
      <c r="I27" s="201">
        <v>5</v>
      </c>
      <c r="J27" s="203">
        <v>3</v>
      </c>
      <c r="K27" s="204">
        <f>Table6[[#This Row],[سعر/م]]*Table6[[#This Row],[طول/وحدة
(م)]]</f>
        <v>15</v>
      </c>
      <c r="L27" s="199" t="s">
        <v>729</v>
      </c>
      <c r="M27" s="201">
        <f>Table6[[#This Row],[طول/وحدة
(م)]]*1.1</f>
        <v>5.5</v>
      </c>
      <c r="N27" s="203">
        <v>12</v>
      </c>
      <c r="O27" s="204">
        <f>Table6[[#This Row],[سعر/م.ط]]*Table6[[#This Row],[طول/وحدة
(م.ط]]</f>
        <v>66</v>
      </c>
      <c r="P27" s="203">
        <v>80</v>
      </c>
      <c r="Q27" s="205">
        <f>Table6[[#This Row],[تثبيت
وتوصيل]]+Table6[[#This Row],[إجمالي
سلك/وحدة]]+Table6[[#This Row],[إجمالي
ماسورة/وحدة]]+Table6[[#This Row],[سعر العلبة
/وحدة]]</f>
        <v>170</v>
      </c>
      <c r="R27" s="205">
        <f>Table6[[#This Row],[★الوحدة]]*Table6[[#This Row],[الكمية]]</f>
        <v>11900</v>
      </c>
    </row>
    <row r="28" spans="1:18" x14ac:dyDescent="0.3">
      <c r="A28" s="245">
        <v>21</v>
      </c>
      <c r="B28" s="199" t="s">
        <v>738</v>
      </c>
      <c r="C28" s="199" t="s">
        <v>739</v>
      </c>
      <c r="D28" s="201">
        <v>5</v>
      </c>
      <c r="E28" s="199" t="s">
        <v>582</v>
      </c>
      <c r="F28" s="199" t="s">
        <v>991</v>
      </c>
      <c r="G28" s="202">
        <v>9</v>
      </c>
      <c r="H28" s="199" t="s">
        <v>728</v>
      </c>
      <c r="I28" s="201">
        <v>15</v>
      </c>
      <c r="J28" s="203">
        <v>3</v>
      </c>
      <c r="K28" s="204">
        <f>Table6[[#This Row],[سعر/م]]*Table6[[#This Row],[طول/وحدة
(م)]]</f>
        <v>45</v>
      </c>
      <c r="L28" s="199" t="s">
        <v>993</v>
      </c>
      <c r="M28" s="201">
        <f>Table6[[#This Row],[طول/وحدة
(م)]]*1.1</f>
        <v>16.5</v>
      </c>
      <c r="N28" s="203">
        <v>20</v>
      </c>
      <c r="O28" s="204">
        <f>Table6[[#This Row],[سعر/م.ط]]*Table6[[#This Row],[طول/وحدة
(م.ط]]</f>
        <v>330</v>
      </c>
      <c r="P28" s="203">
        <v>130</v>
      </c>
      <c r="Q28" s="205">
        <f>Table6[[#This Row],[تثبيت
وتوصيل]]+Table6[[#This Row],[إجمالي
سلك/وحدة]]+Table6[[#This Row],[إجمالي
ماسورة/وحدة]]+Table6[[#This Row],[سعر العلبة
/وحدة]]</f>
        <v>514</v>
      </c>
      <c r="R28" s="205">
        <f>Table6[[#This Row],[★الوحدة]]*Table6[[#This Row],[الكمية]]</f>
        <v>2570</v>
      </c>
    </row>
    <row r="29" spans="1:18" ht="27.6" x14ac:dyDescent="0.3">
      <c r="A29" s="245">
        <v>22</v>
      </c>
      <c r="B29" s="199" t="s">
        <v>740</v>
      </c>
      <c r="C29" s="199" t="s">
        <v>741</v>
      </c>
      <c r="D29" s="201">
        <v>2</v>
      </c>
      <c r="E29" s="199" t="s">
        <v>582</v>
      </c>
      <c r="F29" s="199" t="s">
        <v>992</v>
      </c>
      <c r="G29" s="202"/>
      <c r="H29" s="199" t="s">
        <v>728</v>
      </c>
      <c r="I29" s="201">
        <v>8</v>
      </c>
      <c r="J29" s="203">
        <v>3</v>
      </c>
      <c r="K29" s="204">
        <f>Table6[[#This Row],[سعر/م]]*Table6[[#This Row],[طول/وحدة
(م)]]</f>
        <v>24</v>
      </c>
      <c r="L29" s="199" t="s">
        <v>729</v>
      </c>
      <c r="M29" s="201">
        <f>Table6[[#This Row],[طول/وحدة
(م)]]*1.1</f>
        <v>8.8000000000000007</v>
      </c>
      <c r="N29" s="203">
        <v>12</v>
      </c>
      <c r="O29" s="204">
        <f>Table6[[#This Row],[سعر/م.ط]]*Table6[[#This Row],[طول/وحدة
(م.ط]]</f>
        <v>105.60000000000001</v>
      </c>
      <c r="P29" s="203">
        <v>150</v>
      </c>
      <c r="Q29" s="205">
        <f>Table6[[#This Row],[تثبيت
وتوصيل]]+Table6[[#This Row],[إجمالي
سلك/وحدة]]+Table6[[#This Row],[إجمالي
ماسورة/وحدة]]+Table6[[#This Row],[سعر العلبة
/وحدة]]</f>
        <v>279.60000000000002</v>
      </c>
      <c r="R29" s="205">
        <f>Table6[[#This Row],[★الوحدة]]*Table6[[#This Row],[الكمية]]</f>
        <v>559.20000000000005</v>
      </c>
    </row>
    <row r="30" spans="1:18" x14ac:dyDescent="0.3">
      <c r="A30" s="245">
        <v>23</v>
      </c>
      <c r="B30" s="199" t="s">
        <v>742</v>
      </c>
      <c r="C30" s="199" t="s">
        <v>743</v>
      </c>
      <c r="D30" s="201">
        <v>20</v>
      </c>
      <c r="E30" s="199" t="s">
        <v>582</v>
      </c>
      <c r="F30" s="199" t="s">
        <v>991</v>
      </c>
      <c r="G30" s="202">
        <v>9</v>
      </c>
      <c r="H30" s="199" t="s">
        <v>728</v>
      </c>
      <c r="I30" s="201">
        <v>15</v>
      </c>
      <c r="J30" s="203">
        <v>3</v>
      </c>
      <c r="K30" s="204">
        <f>Table6[[#This Row],[سعر/م]]*Table6[[#This Row],[طول/وحدة
(م)]]</f>
        <v>45</v>
      </c>
      <c r="L30" s="199" t="s">
        <v>993</v>
      </c>
      <c r="M30" s="201">
        <f>Table6[[#This Row],[طول/وحدة
(م)]]*1.1</f>
        <v>16.5</v>
      </c>
      <c r="N30" s="203">
        <v>20</v>
      </c>
      <c r="O30" s="204">
        <f>Table6[[#This Row],[سعر/م.ط]]*Table6[[#This Row],[طول/وحدة
(م.ط]]</f>
        <v>330</v>
      </c>
      <c r="P30" s="203">
        <v>150</v>
      </c>
      <c r="Q30" s="205">
        <f>Table6[[#This Row],[تثبيت
وتوصيل]]+Table6[[#This Row],[إجمالي
سلك/وحدة]]+Table6[[#This Row],[إجمالي
ماسورة/وحدة]]+Table6[[#This Row],[سعر العلبة
/وحدة]]</f>
        <v>534</v>
      </c>
      <c r="R30" s="205">
        <f>Table6[[#This Row],[★الوحدة]]*Table6[[#This Row],[الكمية]]</f>
        <v>10680</v>
      </c>
    </row>
    <row r="31" spans="1:18" x14ac:dyDescent="0.3">
      <c r="A31" s="214"/>
      <c r="B31" s="214"/>
      <c r="C31" s="214"/>
      <c r="D31" s="214"/>
      <c r="E31" s="214"/>
      <c r="F31" s="214"/>
      <c r="G31" s="214"/>
      <c r="H31" s="214"/>
      <c r="I31" s="214"/>
      <c r="J31" s="214"/>
      <c r="K31" s="214"/>
      <c r="L31" s="214"/>
      <c r="M31" s="214"/>
      <c r="N31" s="214"/>
      <c r="O31" s="214"/>
      <c r="P31" s="214"/>
      <c r="Q31" s="214"/>
      <c r="R31" s="214"/>
    </row>
    <row r="32" spans="1:18" x14ac:dyDescent="0.3">
      <c r="A32" s="235" t="s">
        <v>744</v>
      </c>
      <c r="B32" s="215"/>
      <c r="C32" s="215"/>
      <c r="D32" s="215"/>
      <c r="E32" s="215"/>
      <c r="F32" s="215"/>
      <c r="G32" s="215"/>
      <c r="H32" s="215"/>
      <c r="I32" s="215"/>
      <c r="J32" s="235"/>
      <c r="K32" s="215"/>
      <c r="L32" s="215"/>
      <c r="M32" s="215"/>
      <c r="N32" s="215"/>
      <c r="O32" s="215"/>
      <c r="P32" s="215"/>
      <c r="Q32" s="215"/>
      <c r="R32" s="215"/>
    </row>
    <row r="33" spans="1:18" x14ac:dyDescent="0.3">
      <c r="A33" s="245">
        <v>24</v>
      </c>
      <c r="B33" s="199" t="s">
        <v>745</v>
      </c>
      <c r="C33" s="199" t="s">
        <v>746</v>
      </c>
      <c r="D33" s="201">
        <v>284</v>
      </c>
      <c r="E33" s="199" t="s">
        <v>582</v>
      </c>
      <c r="F33" s="199" t="s">
        <v>991</v>
      </c>
      <c r="G33" s="202">
        <v>9</v>
      </c>
      <c r="H33" s="199" t="s">
        <v>998</v>
      </c>
      <c r="I33" s="201">
        <v>5</v>
      </c>
      <c r="J33" s="203">
        <v>3</v>
      </c>
      <c r="K33" s="204">
        <f>Table6[[#This Row],[سعر/م]]*Table6[[#This Row],[طول/وحدة
(م)]]</f>
        <v>15</v>
      </c>
      <c r="L33" s="199" t="s">
        <v>749</v>
      </c>
      <c r="M33" s="201">
        <f>Table6[[#This Row],[طول/وحدة
(م)]]*1.1</f>
        <v>5.5</v>
      </c>
      <c r="N33" s="203">
        <v>9</v>
      </c>
      <c r="O33" s="204">
        <f>Table6[[#This Row],[سعر/م.ط]]*Table6[[#This Row],[طول/وحدة
(م.ط]]</f>
        <v>49.5</v>
      </c>
      <c r="P33" s="203">
        <v>80</v>
      </c>
      <c r="Q33" s="205">
        <f>Table6[[#This Row],[تثبيت
وتوصيل]]+Table6[[#This Row],[إجمالي
سلك/وحدة]]+Table6[[#This Row],[إجمالي
ماسورة/وحدة]]+Table6[[#This Row],[سعر العلبة
/وحدة]]</f>
        <v>153.5</v>
      </c>
      <c r="R33" s="205">
        <f>Table6[[#This Row],[★الوحدة]]*Table6[[#This Row],[الكمية]]</f>
        <v>43594</v>
      </c>
    </row>
    <row r="34" spans="1:18" x14ac:dyDescent="0.3">
      <c r="A34" s="245">
        <v>25</v>
      </c>
      <c r="B34" s="199" t="s">
        <v>750</v>
      </c>
      <c r="C34" s="199" t="s">
        <v>751</v>
      </c>
      <c r="D34" s="201">
        <v>80</v>
      </c>
      <c r="E34" s="199" t="s">
        <v>582</v>
      </c>
      <c r="F34" s="199" t="s">
        <v>991</v>
      </c>
      <c r="G34" s="202">
        <v>9</v>
      </c>
      <c r="H34" s="199" t="s">
        <v>998</v>
      </c>
      <c r="I34" s="201">
        <v>5</v>
      </c>
      <c r="J34" s="203">
        <v>3</v>
      </c>
      <c r="K34" s="204">
        <f>Table6[[#This Row],[سعر/م]]*Table6[[#This Row],[طول/وحدة
(م)]]</f>
        <v>15</v>
      </c>
      <c r="L34" s="199" t="s">
        <v>749</v>
      </c>
      <c r="M34" s="201">
        <f>Table6[[#This Row],[طول/وحدة
(م)]]*1.1</f>
        <v>5.5</v>
      </c>
      <c r="N34" s="203">
        <v>9</v>
      </c>
      <c r="O34" s="204">
        <f>Table6[[#This Row],[سعر/م.ط]]*Table6[[#This Row],[طول/وحدة
(م.ط]]</f>
        <v>49.5</v>
      </c>
      <c r="P34" s="203">
        <v>80</v>
      </c>
      <c r="Q34" s="205">
        <f>Table6[[#This Row],[تثبيت
وتوصيل]]+Table6[[#This Row],[إجمالي
سلك/وحدة]]+Table6[[#This Row],[إجمالي
ماسورة/وحدة]]+Table6[[#This Row],[سعر العلبة
/وحدة]]</f>
        <v>153.5</v>
      </c>
      <c r="R34" s="205">
        <f>Table6[[#This Row],[★الوحدة]]*Table6[[#This Row],[الكمية]]</f>
        <v>12280</v>
      </c>
    </row>
    <row r="35" spans="1:18" x14ac:dyDescent="0.3">
      <c r="A35" s="245">
        <v>26</v>
      </c>
      <c r="B35" s="199" t="s">
        <v>752</v>
      </c>
      <c r="C35" s="199" t="s">
        <v>753</v>
      </c>
      <c r="D35" s="201">
        <v>20</v>
      </c>
      <c r="E35" s="199" t="s">
        <v>582</v>
      </c>
      <c r="F35" s="199" t="s">
        <v>991</v>
      </c>
      <c r="G35" s="202">
        <v>9</v>
      </c>
      <c r="H35" s="199" t="s">
        <v>998</v>
      </c>
      <c r="I35" s="201">
        <v>5</v>
      </c>
      <c r="J35" s="203">
        <v>3</v>
      </c>
      <c r="K35" s="204">
        <f>Table6[[#This Row],[سعر/م]]*Table6[[#This Row],[طول/وحدة
(م)]]</f>
        <v>15</v>
      </c>
      <c r="L35" s="199" t="s">
        <v>749</v>
      </c>
      <c r="M35" s="201">
        <f>Table6[[#This Row],[طول/وحدة
(م)]]*1.1</f>
        <v>5.5</v>
      </c>
      <c r="N35" s="203">
        <v>9</v>
      </c>
      <c r="O35" s="204">
        <f>Table6[[#This Row],[سعر/م.ط]]*Table6[[#This Row],[طول/وحدة
(م.ط]]</f>
        <v>49.5</v>
      </c>
      <c r="P35" s="203">
        <v>80</v>
      </c>
      <c r="Q35" s="205">
        <f>Table6[[#This Row],[تثبيت
وتوصيل]]+Table6[[#This Row],[إجمالي
سلك/وحدة]]+Table6[[#This Row],[إجمالي
ماسورة/وحدة]]+Table6[[#This Row],[سعر العلبة
/وحدة]]</f>
        <v>153.5</v>
      </c>
      <c r="R35" s="205">
        <f>Table6[[#This Row],[★الوحدة]]*Table6[[#This Row],[الكمية]]</f>
        <v>3070</v>
      </c>
    </row>
    <row r="36" spans="1:18" x14ac:dyDescent="0.3">
      <c r="A36" s="245">
        <v>27</v>
      </c>
      <c r="B36" s="199" t="s">
        <v>754</v>
      </c>
      <c r="C36" s="199" t="s">
        <v>755</v>
      </c>
      <c r="D36" s="201">
        <v>20</v>
      </c>
      <c r="E36" s="199" t="s">
        <v>582</v>
      </c>
      <c r="F36" s="199" t="s">
        <v>991</v>
      </c>
      <c r="G36" s="202">
        <v>9</v>
      </c>
      <c r="H36" s="199" t="s">
        <v>998</v>
      </c>
      <c r="I36" s="201">
        <v>5</v>
      </c>
      <c r="J36" s="203">
        <v>3</v>
      </c>
      <c r="K36" s="204">
        <f>Table6[[#This Row],[سعر/م]]*Table6[[#This Row],[طول/وحدة
(م)]]</f>
        <v>15</v>
      </c>
      <c r="L36" s="199" t="s">
        <v>749</v>
      </c>
      <c r="M36" s="201">
        <f>Table6[[#This Row],[طول/وحدة
(م)]]*1.1</f>
        <v>5.5</v>
      </c>
      <c r="N36" s="203">
        <v>9</v>
      </c>
      <c r="O36" s="204">
        <f>Table6[[#This Row],[سعر/م.ط]]*Table6[[#This Row],[طول/وحدة
(م.ط]]</f>
        <v>49.5</v>
      </c>
      <c r="P36" s="203">
        <v>80</v>
      </c>
      <c r="Q36" s="205">
        <f>Table6[[#This Row],[تثبيت
وتوصيل]]+Table6[[#This Row],[إجمالي
سلك/وحدة]]+Table6[[#This Row],[إجمالي
ماسورة/وحدة]]+Table6[[#This Row],[سعر العلبة
/وحدة]]</f>
        <v>153.5</v>
      </c>
      <c r="R36" s="205">
        <f>Table6[[#This Row],[★الوحدة]]*Table6[[#This Row],[الكمية]]</f>
        <v>3070</v>
      </c>
    </row>
    <row r="37" spans="1:18" x14ac:dyDescent="0.3">
      <c r="A37" s="245">
        <v>28</v>
      </c>
      <c r="B37" s="199" t="s">
        <v>756</v>
      </c>
      <c r="C37" s="199" t="s">
        <v>757</v>
      </c>
      <c r="D37" s="201">
        <v>20</v>
      </c>
      <c r="E37" s="199" t="s">
        <v>582</v>
      </c>
      <c r="F37" s="199" t="s">
        <v>991</v>
      </c>
      <c r="G37" s="202">
        <v>9</v>
      </c>
      <c r="H37" s="199" t="s">
        <v>998</v>
      </c>
      <c r="I37" s="201">
        <v>5</v>
      </c>
      <c r="J37" s="203">
        <v>3</v>
      </c>
      <c r="K37" s="204">
        <f>Table6[[#This Row],[سعر/م]]*Table6[[#This Row],[طول/وحدة
(م)]]</f>
        <v>15</v>
      </c>
      <c r="L37" s="199" t="s">
        <v>749</v>
      </c>
      <c r="M37" s="201">
        <f>Table6[[#This Row],[طول/وحدة
(م)]]*1.1</f>
        <v>5.5</v>
      </c>
      <c r="N37" s="203">
        <v>9</v>
      </c>
      <c r="O37" s="204">
        <f>Table6[[#This Row],[سعر/م.ط]]*Table6[[#This Row],[طول/وحدة
(م.ط]]</f>
        <v>49.5</v>
      </c>
      <c r="P37" s="203">
        <v>80</v>
      </c>
      <c r="Q37" s="205">
        <f>Table6[[#This Row],[تثبيت
وتوصيل]]+Table6[[#This Row],[إجمالي
سلك/وحدة]]+Table6[[#This Row],[إجمالي
ماسورة/وحدة]]+Table6[[#This Row],[سعر العلبة
/وحدة]]</f>
        <v>153.5</v>
      </c>
      <c r="R37" s="205">
        <f>Table6[[#This Row],[★الوحدة]]*Table6[[#This Row],[الكمية]]</f>
        <v>3070</v>
      </c>
    </row>
    <row r="38" spans="1:18" x14ac:dyDescent="0.3">
      <c r="A38" s="245">
        <v>29</v>
      </c>
      <c r="B38" s="199" t="s">
        <v>758</v>
      </c>
      <c r="C38" s="199" t="s">
        <v>759</v>
      </c>
      <c r="D38" s="201">
        <v>20</v>
      </c>
      <c r="E38" s="199" t="s">
        <v>582</v>
      </c>
      <c r="F38" s="199" t="s">
        <v>991</v>
      </c>
      <c r="G38" s="202">
        <v>9</v>
      </c>
      <c r="H38" s="199" t="s">
        <v>998</v>
      </c>
      <c r="I38" s="201">
        <v>5</v>
      </c>
      <c r="J38" s="203">
        <v>3</v>
      </c>
      <c r="K38" s="204">
        <f>Table6[[#This Row],[سعر/م]]*Table6[[#This Row],[طول/وحدة
(م)]]</f>
        <v>15</v>
      </c>
      <c r="L38" s="199" t="s">
        <v>749</v>
      </c>
      <c r="M38" s="201">
        <f>Table6[[#This Row],[طول/وحدة
(م)]]*1.1</f>
        <v>5.5</v>
      </c>
      <c r="N38" s="203">
        <v>9</v>
      </c>
      <c r="O38" s="204">
        <f>Table6[[#This Row],[سعر/م.ط]]*Table6[[#This Row],[طول/وحدة
(م.ط]]</f>
        <v>49.5</v>
      </c>
      <c r="P38" s="203">
        <v>80</v>
      </c>
      <c r="Q38" s="205">
        <f>Table6[[#This Row],[تثبيت
وتوصيل]]+Table6[[#This Row],[إجمالي
سلك/وحدة]]+Table6[[#This Row],[إجمالي
ماسورة/وحدة]]+Table6[[#This Row],[سعر العلبة
/وحدة]]</f>
        <v>153.5</v>
      </c>
      <c r="R38" s="205">
        <f>Table6[[#This Row],[★الوحدة]]*Table6[[#This Row],[الكمية]]</f>
        <v>3070</v>
      </c>
    </row>
    <row r="39" spans="1:18" x14ac:dyDescent="0.3">
      <c r="A39" s="245">
        <v>30</v>
      </c>
      <c r="B39" s="199" t="s">
        <v>760</v>
      </c>
      <c r="C39" s="199" t="s">
        <v>761</v>
      </c>
      <c r="D39" s="201">
        <v>140</v>
      </c>
      <c r="E39" s="199" t="s">
        <v>582</v>
      </c>
      <c r="F39" s="199" t="s">
        <v>991</v>
      </c>
      <c r="G39" s="202">
        <v>9</v>
      </c>
      <c r="H39" s="199" t="s">
        <v>998</v>
      </c>
      <c r="I39" s="201">
        <v>5</v>
      </c>
      <c r="J39" s="203">
        <v>3</v>
      </c>
      <c r="K39" s="204">
        <f>Table6[[#This Row],[سعر/م]]*Table6[[#This Row],[طول/وحدة
(م)]]</f>
        <v>15</v>
      </c>
      <c r="L39" s="199" t="s">
        <v>749</v>
      </c>
      <c r="M39" s="201">
        <f>Table6[[#This Row],[طول/وحدة
(م)]]*1.1</f>
        <v>5.5</v>
      </c>
      <c r="N39" s="203">
        <v>9</v>
      </c>
      <c r="O39" s="204">
        <f>Table6[[#This Row],[سعر/م.ط]]*Table6[[#This Row],[طول/وحدة
(م.ط]]</f>
        <v>49.5</v>
      </c>
      <c r="P39" s="203">
        <v>80</v>
      </c>
      <c r="Q39" s="205">
        <f>Table6[[#This Row],[تثبيت
وتوصيل]]+Table6[[#This Row],[إجمالي
سلك/وحدة]]+Table6[[#This Row],[إجمالي
ماسورة/وحدة]]+Table6[[#This Row],[سعر العلبة
/وحدة]]</f>
        <v>153.5</v>
      </c>
      <c r="R39" s="205">
        <f>Table6[[#This Row],[★الوحدة]]*Table6[[#This Row],[الكمية]]</f>
        <v>21490</v>
      </c>
    </row>
    <row r="40" spans="1:18" x14ac:dyDescent="0.3">
      <c r="A40" s="245">
        <v>31</v>
      </c>
      <c r="B40" s="199" t="s">
        <v>762</v>
      </c>
      <c r="C40" s="199" t="s">
        <v>763</v>
      </c>
      <c r="D40" s="201">
        <v>30</v>
      </c>
      <c r="E40" s="199" t="s">
        <v>582</v>
      </c>
      <c r="F40" s="199" t="s">
        <v>991</v>
      </c>
      <c r="G40" s="202">
        <v>9</v>
      </c>
      <c r="H40" s="199" t="s">
        <v>998</v>
      </c>
      <c r="I40" s="201">
        <v>5</v>
      </c>
      <c r="J40" s="203">
        <v>3</v>
      </c>
      <c r="K40" s="204">
        <f>Table6[[#This Row],[سعر/م]]*Table6[[#This Row],[طول/وحدة
(م)]]</f>
        <v>15</v>
      </c>
      <c r="L40" s="199" t="s">
        <v>749</v>
      </c>
      <c r="M40" s="201">
        <f>Table6[[#This Row],[طول/وحدة
(م)]]*1.1</f>
        <v>5.5</v>
      </c>
      <c r="N40" s="203">
        <v>9</v>
      </c>
      <c r="O40" s="204">
        <f>Table6[[#This Row],[سعر/م.ط]]*Table6[[#This Row],[طول/وحدة
(م.ط]]</f>
        <v>49.5</v>
      </c>
      <c r="P40" s="203">
        <v>80</v>
      </c>
      <c r="Q40" s="205">
        <f>Table6[[#This Row],[تثبيت
وتوصيل]]+Table6[[#This Row],[إجمالي
سلك/وحدة]]+Table6[[#This Row],[إجمالي
ماسورة/وحدة]]+Table6[[#This Row],[سعر العلبة
/وحدة]]</f>
        <v>153.5</v>
      </c>
      <c r="R40" s="205">
        <f>Table6[[#This Row],[★الوحدة]]*Table6[[#This Row],[الكمية]]</f>
        <v>4605</v>
      </c>
    </row>
    <row r="41" spans="1:18" x14ac:dyDescent="0.3">
      <c r="A41" s="245">
        <v>32</v>
      </c>
      <c r="B41" s="199" t="s">
        <v>764</v>
      </c>
      <c r="C41" s="199" t="s">
        <v>765</v>
      </c>
      <c r="D41" s="201">
        <v>6</v>
      </c>
      <c r="E41" s="199" t="s">
        <v>582</v>
      </c>
      <c r="F41" s="199" t="s">
        <v>991</v>
      </c>
      <c r="G41" s="202">
        <v>9</v>
      </c>
      <c r="H41" s="199" t="s">
        <v>998</v>
      </c>
      <c r="I41" s="201">
        <v>5</v>
      </c>
      <c r="J41" s="203">
        <v>3</v>
      </c>
      <c r="K41" s="204">
        <f>Table6[[#This Row],[سعر/م]]*Table6[[#This Row],[طول/وحدة
(م)]]</f>
        <v>15</v>
      </c>
      <c r="L41" s="199" t="s">
        <v>749</v>
      </c>
      <c r="M41" s="201">
        <f>Table6[[#This Row],[طول/وحدة
(م)]]*1.1</f>
        <v>5.5</v>
      </c>
      <c r="N41" s="203">
        <v>9</v>
      </c>
      <c r="O41" s="204">
        <f>Table6[[#This Row],[سعر/م.ط]]*Table6[[#This Row],[طول/وحدة
(م.ط]]</f>
        <v>49.5</v>
      </c>
      <c r="P41" s="203">
        <v>80</v>
      </c>
      <c r="Q41" s="205">
        <f>Table6[[#This Row],[تثبيت
وتوصيل]]+Table6[[#This Row],[إجمالي
سلك/وحدة]]+Table6[[#This Row],[إجمالي
ماسورة/وحدة]]+Table6[[#This Row],[سعر العلبة
/وحدة]]</f>
        <v>153.5</v>
      </c>
      <c r="R41" s="205">
        <f>Table6[[#This Row],[★الوحدة]]*Table6[[#This Row],[الكمية]]</f>
        <v>921</v>
      </c>
    </row>
    <row r="42" spans="1:18" x14ac:dyDescent="0.3">
      <c r="A42" s="245">
        <v>33</v>
      </c>
      <c r="B42" s="199" t="s">
        <v>766</v>
      </c>
      <c r="C42" s="199" t="s">
        <v>767</v>
      </c>
      <c r="D42" s="201">
        <v>111</v>
      </c>
      <c r="E42" s="199" t="s">
        <v>587</v>
      </c>
      <c r="F42" s="199" t="s">
        <v>991</v>
      </c>
      <c r="G42" s="202">
        <v>9</v>
      </c>
      <c r="H42" s="199" t="s">
        <v>998</v>
      </c>
      <c r="I42" s="201">
        <v>5</v>
      </c>
      <c r="J42" s="203">
        <v>3</v>
      </c>
      <c r="K42" s="204">
        <f>Table6[[#This Row],[سعر/م]]*Table6[[#This Row],[طول/وحدة
(م)]]</f>
        <v>15</v>
      </c>
      <c r="L42" s="199" t="s">
        <v>749</v>
      </c>
      <c r="M42" s="201">
        <f>Table6[[#This Row],[طول/وحدة
(م)]]*1.1</f>
        <v>5.5</v>
      </c>
      <c r="N42" s="203">
        <v>9</v>
      </c>
      <c r="O42" s="204">
        <f>Table6[[#This Row],[سعر/م.ط]]*Table6[[#This Row],[طول/وحدة
(م.ط]]</f>
        <v>49.5</v>
      </c>
      <c r="P42" s="203"/>
      <c r="Q42" s="205"/>
      <c r="R42" s="205">
        <f>Table6[[#This Row],[★الوحدة]]*Table6[[#This Row],[الكمية]]</f>
        <v>0</v>
      </c>
    </row>
    <row r="43" spans="1:18" x14ac:dyDescent="0.3">
      <c r="A43" s="245">
        <v>34</v>
      </c>
      <c r="B43" s="199" t="s">
        <v>768</v>
      </c>
      <c r="C43" s="199" t="s">
        <v>769</v>
      </c>
      <c r="D43" s="201">
        <v>12</v>
      </c>
      <c r="E43" s="199" t="s">
        <v>582</v>
      </c>
      <c r="F43" s="199" t="s">
        <v>991</v>
      </c>
      <c r="G43" s="202">
        <v>9</v>
      </c>
      <c r="H43" s="199" t="s">
        <v>998</v>
      </c>
      <c r="I43" s="201">
        <v>5</v>
      </c>
      <c r="J43" s="203">
        <v>3</v>
      </c>
      <c r="K43" s="204">
        <f>Table6[[#This Row],[سعر/م]]*Table6[[#This Row],[طول/وحدة
(م)]]</f>
        <v>15</v>
      </c>
      <c r="L43" s="199" t="s">
        <v>749</v>
      </c>
      <c r="M43" s="201">
        <f>Table6[[#This Row],[طول/وحدة
(م)]]*1.1</f>
        <v>5.5</v>
      </c>
      <c r="N43" s="203">
        <v>9</v>
      </c>
      <c r="O43" s="204">
        <f>Table6[[#This Row],[سعر/م.ط]]*Table6[[#This Row],[طول/وحدة
(م.ط]]</f>
        <v>49.5</v>
      </c>
      <c r="P43" s="203">
        <v>90</v>
      </c>
      <c r="Q43" s="205">
        <f>Table6[[#This Row],[تثبيت
وتوصيل]]+Table6[[#This Row],[إجمالي
سلك/وحدة]]+Table6[[#This Row],[إجمالي
ماسورة/وحدة]]+Table6[[#This Row],[سعر العلبة
/وحدة]]</f>
        <v>163.5</v>
      </c>
      <c r="R43" s="205">
        <f>Table6[[#This Row],[★الوحدة]]*Table6[[#This Row],[الكمية]]</f>
        <v>1962</v>
      </c>
    </row>
    <row r="44" spans="1:18" x14ac:dyDescent="0.3">
      <c r="A44" s="245">
        <v>35</v>
      </c>
      <c r="B44" s="199" t="s">
        <v>770</v>
      </c>
      <c r="C44" s="199" t="s">
        <v>771</v>
      </c>
      <c r="D44" s="201">
        <v>4</v>
      </c>
      <c r="E44" s="199" t="s">
        <v>582</v>
      </c>
      <c r="F44" s="199" t="s">
        <v>991</v>
      </c>
      <c r="G44" s="202">
        <v>9</v>
      </c>
      <c r="H44" s="199" t="s">
        <v>998</v>
      </c>
      <c r="I44" s="201">
        <v>5</v>
      </c>
      <c r="J44" s="203">
        <v>3</v>
      </c>
      <c r="K44" s="204">
        <f>Table6[[#This Row],[سعر/م]]*Table6[[#This Row],[طول/وحدة
(م)]]</f>
        <v>15</v>
      </c>
      <c r="L44" s="199" t="s">
        <v>749</v>
      </c>
      <c r="M44" s="201">
        <f>Table6[[#This Row],[طول/وحدة
(م)]]*1.1</f>
        <v>5.5</v>
      </c>
      <c r="N44" s="203">
        <v>9</v>
      </c>
      <c r="O44" s="204">
        <f>Table6[[#This Row],[سعر/م.ط]]*Table6[[#This Row],[طول/وحدة
(م.ط]]</f>
        <v>49.5</v>
      </c>
      <c r="P44" s="203">
        <v>80</v>
      </c>
      <c r="Q44" s="205">
        <f>Table6[[#This Row],[تثبيت
وتوصيل]]+Table6[[#This Row],[إجمالي
سلك/وحدة]]+Table6[[#This Row],[إجمالي
ماسورة/وحدة]]+Table6[[#This Row],[سعر العلبة
/وحدة]]</f>
        <v>153.5</v>
      </c>
      <c r="R44" s="205">
        <f>Table6[[#This Row],[★الوحدة]]*Table6[[#This Row],[الكمية]]</f>
        <v>614</v>
      </c>
    </row>
    <row r="45" spans="1:18" x14ac:dyDescent="0.3">
      <c r="A45" s="245">
        <v>36</v>
      </c>
      <c r="B45" s="199" t="s">
        <v>772</v>
      </c>
      <c r="C45" s="199" t="s">
        <v>773</v>
      </c>
      <c r="D45" s="201">
        <v>12</v>
      </c>
      <c r="E45" s="199" t="s">
        <v>582</v>
      </c>
      <c r="F45" s="199" t="s">
        <v>991</v>
      </c>
      <c r="G45" s="202">
        <v>9</v>
      </c>
      <c r="H45" s="199" t="s">
        <v>998</v>
      </c>
      <c r="I45" s="201">
        <v>5</v>
      </c>
      <c r="J45" s="203">
        <v>3</v>
      </c>
      <c r="K45" s="204">
        <f>Table6[[#This Row],[سعر/م]]*Table6[[#This Row],[طول/وحدة
(م)]]</f>
        <v>15</v>
      </c>
      <c r="L45" s="199" t="s">
        <v>729</v>
      </c>
      <c r="M45" s="201">
        <f>Table6[[#This Row],[طول/وحدة
(م)]]*1.1</f>
        <v>5.5</v>
      </c>
      <c r="N45" s="203">
        <v>9</v>
      </c>
      <c r="O45" s="204">
        <f>Table6[[#This Row],[سعر/م.ط]]*Table6[[#This Row],[طول/وحدة
(م.ط]]</f>
        <v>49.5</v>
      </c>
      <c r="P45" s="203">
        <v>80</v>
      </c>
      <c r="Q45" s="205">
        <f>Table6[[#This Row],[تثبيت
وتوصيل]]+Table6[[#This Row],[إجمالي
سلك/وحدة]]+Table6[[#This Row],[إجمالي
ماسورة/وحدة]]+Table6[[#This Row],[سعر العلبة
/وحدة]]</f>
        <v>153.5</v>
      </c>
      <c r="R45" s="205">
        <f>Table6[[#This Row],[★الوحدة]]*Table6[[#This Row],[الكمية]]</f>
        <v>1842</v>
      </c>
    </row>
    <row r="46" spans="1:18" x14ac:dyDescent="0.3">
      <c r="A46" s="245">
        <v>37</v>
      </c>
      <c r="B46" s="199" t="s">
        <v>774</v>
      </c>
      <c r="C46" s="199" t="s">
        <v>775</v>
      </c>
      <c r="D46" s="201">
        <v>1</v>
      </c>
      <c r="E46" s="199" t="s">
        <v>45</v>
      </c>
      <c r="F46" s="199" t="s">
        <v>747</v>
      </c>
      <c r="G46" s="202">
        <v>27225</v>
      </c>
      <c r="H46" s="199"/>
      <c r="I46" s="201">
        <v>5</v>
      </c>
      <c r="J46" s="203">
        <v>2475</v>
      </c>
      <c r="K46" s="204">
        <f>Table6[[#This Row],[سعر/م]]*Table6[[#This Row],[طول/وحدة
(م)]]</f>
        <v>12375</v>
      </c>
      <c r="L46" s="199"/>
      <c r="M46" s="201"/>
      <c r="N46" s="203">
        <v>1485</v>
      </c>
      <c r="O46" s="204">
        <f>Table6[[#This Row],[سعر/م.ط]]*Table6[[#This Row],[طول/وحدة
(م.ط]]</f>
        <v>0</v>
      </c>
      <c r="P46" s="203">
        <v>9900</v>
      </c>
      <c r="Q46" s="205">
        <f>Table6[[#This Row],[تثبيت
وتوصيل]]+Table6[[#This Row],[إجمالي
سلك/وحدة]]+Table6[[#This Row],[إجمالي
ماسورة/وحدة]]+Table6[[#This Row],[سعر العلبة
/وحدة]]</f>
        <v>49500</v>
      </c>
      <c r="R46" s="205">
        <f>Table6[[#This Row],[★الوحدة]]*Table6[[#This Row],[الكمية]]</f>
        <v>49500</v>
      </c>
    </row>
    <row r="47" spans="1:18" x14ac:dyDescent="0.3">
      <c r="A47" s="214"/>
      <c r="B47" s="214"/>
      <c r="C47" s="214"/>
      <c r="D47" s="214"/>
      <c r="E47" s="214"/>
      <c r="F47" s="214"/>
      <c r="G47" s="214"/>
      <c r="H47" s="214"/>
      <c r="I47" s="214"/>
      <c r="J47" s="214"/>
      <c r="K47" s="214"/>
      <c r="L47" s="214"/>
      <c r="M47" s="214"/>
      <c r="N47" s="214"/>
      <c r="O47" s="214"/>
      <c r="P47" s="214"/>
      <c r="Q47" s="214"/>
      <c r="R47" s="214"/>
    </row>
    <row r="48" spans="1:18" hidden="1" x14ac:dyDescent="0.3">
      <c r="A48" s="235" t="s">
        <v>957</v>
      </c>
      <c r="B48" s="215"/>
      <c r="C48" s="215"/>
      <c r="D48" s="215"/>
      <c r="E48" s="215"/>
      <c r="F48" s="215"/>
      <c r="G48" s="215"/>
      <c r="H48" s="215"/>
      <c r="I48" s="215"/>
      <c r="J48" s="235"/>
      <c r="K48" s="215"/>
      <c r="L48" s="215"/>
      <c r="M48" s="215"/>
      <c r="N48" s="215"/>
      <c r="O48" s="215"/>
      <c r="P48" s="215"/>
      <c r="Q48" s="215"/>
      <c r="R48" s="215"/>
    </row>
    <row r="49" spans="1:18" hidden="1" x14ac:dyDescent="0.3">
      <c r="A49" s="199">
        <v>38</v>
      </c>
      <c r="B49" s="199" t="s">
        <v>776</v>
      </c>
      <c r="C49" s="199" t="s">
        <v>777</v>
      </c>
      <c r="D49" s="201">
        <v>250</v>
      </c>
      <c r="E49" s="199" t="s">
        <v>587</v>
      </c>
      <c r="F49" s="199" t="s">
        <v>778</v>
      </c>
      <c r="G49" s="202">
        <v>148.5</v>
      </c>
      <c r="H49" s="199" t="s">
        <v>779</v>
      </c>
      <c r="I49" s="201">
        <v>1</v>
      </c>
      <c r="J49" s="203">
        <v>9.9</v>
      </c>
      <c r="K49" s="204">
        <f>Table6[[#This Row],[سعر/م]]*Table6[[#This Row],[طول/وحدة
(م)]]</f>
        <v>9.9</v>
      </c>
      <c r="L49" s="199" t="s">
        <v>780</v>
      </c>
      <c r="M49" s="201">
        <v>1</v>
      </c>
      <c r="N49" s="203">
        <v>19.8</v>
      </c>
      <c r="O49" s="204">
        <f>Table6[[#This Row],[سعر/م.ط]]*Table6[[#This Row],[طول/وحدة
(م.ط]]</f>
        <v>19.8</v>
      </c>
      <c r="P49" s="203">
        <v>19.8</v>
      </c>
      <c r="Q49" s="205"/>
      <c r="R49" s="205"/>
    </row>
    <row r="50" spans="1:18" hidden="1" x14ac:dyDescent="0.3">
      <c r="A50" s="199">
        <v>39</v>
      </c>
      <c r="B50" s="199" t="s">
        <v>781</v>
      </c>
      <c r="C50" s="199" t="s">
        <v>782</v>
      </c>
      <c r="D50" s="201">
        <v>150</v>
      </c>
      <c r="E50" s="199" t="s">
        <v>587</v>
      </c>
      <c r="F50" s="199" t="s">
        <v>778</v>
      </c>
      <c r="G50" s="202">
        <v>99</v>
      </c>
      <c r="H50" s="199" t="s">
        <v>779</v>
      </c>
      <c r="I50" s="201">
        <v>1</v>
      </c>
      <c r="J50" s="203">
        <v>6.6</v>
      </c>
      <c r="K50" s="204">
        <f>Table6[[#This Row],[سعر/م]]*Table6[[#This Row],[طول/وحدة
(م)]]</f>
        <v>6.6</v>
      </c>
      <c r="L50" s="199" t="s">
        <v>780</v>
      </c>
      <c r="M50" s="201">
        <v>1</v>
      </c>
      <c r="N50" s="203">
        <v>13.2</v>
      </c>
      <c r="O50" s="204">
        <f>Table6[[#This Row],[سعر/م.ط]]*Table6[[#This Row],[طول/وحدة
(م.ط]]</f>
        <v>13.2</v>
      </c>
      <c r="P50" s="203">
        <v>13.2</v>
      </c>
      <c r="Q50" s="205"/>
      <c r="R50" s="205"/>
    </row>
    <row r="51" spans="1:18" hidden="1" x14ac:dyDescent="0.3">
      <c r="A51" s="199">
        <v>40</v>
      </c>
      <c r="B51" s="199" t="s">
        <v>783</v>
      </c>
      <c r="C51" s="199" t="s">
        <v>784</v>
      </c>
      <c r="D51" s="201">
        <v>100</v>
      </c>
      <c r="E51" s="199" t="s">
        <v>587</v>
      </c>
      <c r="F51" s="199" t="s">
        <v>778</v>
      </c>
      <c r="G51" s="202">
        <v>148.5</v>
      </c>
      <c r="H51" s="199" t="s">
        <v>779</v>
      </c>
      <c r="I51" s="201">
        <v>1</v>
      </c>
      <c r="J51" s="203">
        <v>9.9</v>
      </c>
      <c r="K51" s="204">
        <f>Table6[[#This Row],[سعر/م]]*Table6[[#This Row],[طول/وحدة
(م)]]</f>
        <v>9.9</v>
      </c>
      <c r="L51" s="199" t="s">
        <v>780</v>
      </c>
      <c r="M51" s="201">
        <v>1</v>
      </c>
      <c r="N51" s="203">
        <v>19.8</v>
      </c>
      <c r="O51" s="204">
        <f>Table6[[#This Row],[سعر/م.ط]]*Table6[[#This Row],[طول/وحدة
(م.ط]]</f>
        <v>19.8</v>
      </c>
      <c r="P51" s="203">
        <v>19.8</v>
      </c>
      <c r="Q51" s="205"/>
      <c r="R51" s="205"/>
    </row>
    <row r="52" spans="1:18" hidden="1" x14ac:dyDescent="0.3">
      <c r="A52" s="199">
        <v>41</v>
      </c>
      <c r="B52" s="199" t="s">
        <v>785</v>
      </c>
      <c r="C52" s="199" t="s">
        <v>786</v>
      </c>
      <c r="D52" s="201">
        <v>150</v>
      </c>
      <c r="E52" s="199" t="s">
        <v>587</v>
      </c>
      <c r="F52" s="199" t="s">
        <v>778</v>
      </c>
      <c r="G52" s="202">
        <v>78.375</v>
      </c>
      <c r="H52" s="199" t="s">
        <v>779</v>
      </c>
      <c r="I52" s="201">
        <v>1</v>
      </c>
      <c r="J52" s="203">
        <v>5.2249999999999996</v>
      </c>
      <c r="K52" s="204">
        <f>Table6[[#This Row],[سعر/م]]*Table6[[#This Row],[طول/وحدة
(م)]]</f>
        <v>5.2249999999999996</v>
      </c>
      <c r="L52" s="199" t="s">
        <v>780</v>
      </c>
      <c r="M52" s="201">
        <v>1</v>
      </c>
      <c r="N52" s="203">
        <v>10.45</v>
      </c>
      <c r="O52" s="204">
        <f>Table6[[#This Row],[سعر/م.ط]]*Table6[[#This Row],[طول/وحدة
(م.ط]]</f>
        <v>10.45</v>
      </c>
      <c r="P52" s="203">
        <v>10.45</v>
      </c>
      <c r="Q52" s="205"/>
      <c r="R52" s="205"/>
    </row>
    <row r="53" spans="1:18" hidden="1" x14ac:dyDescent="0.3">
      <c r="A53" s="214"/>
      <c r="B53" s="214"/>
      <c r="C53" s="214"/>
      <c r="D53" s="214"/>
      <c r="E53" s="214"/>
      <c r="F53" s="214"/>
      <c r="G53" s="214"/>
      <c r="H53" s="214"/>
      <c r="I53" s="214"/>
      <c r="J53" s="214"/>
      <c r="K53" s="214"/>
      <c r="L53" s="214"/>
      <c r="M53" s="214"/>
      <c r="N53" s="214"/>
      <c r="O53" s="214"/>
      <c r="P53" s="214"/>
      <c r="Q53" s="214"/>
      <c r="R53" s="214"/>
    </row>
    <row r="54" spans="1:18" x14ac:dyDescent="0.3">
      <c r="A54" s="235" t="s">
        <v>787</v>
      </c>
      <c r="B54" s="215"/>
      <c r="C54" s="215"/>
      <c r="D54" s="215"/>
      <c r="E54" s="215"/>
      <c r="F54" s="215"/>
      <c r="G54" s="215"/>
      <c r="H54" s="215"/>
      <c r="I54" s="215"/>
      <c r="J54" s="235"/>
      <c r="K54" s="215"/>
      <c r="L54" s="215"/>
      <c r="M54" s="215"/>
      <c r="N54" s="215"/>
      <c r="O54" s="215"/>
      <c r="P54" s="215"/>
      <c r="Q54" s="215"/>
      <c r="R54" s="215"/>
    </row>
    <row r="55" spans="1:18" x14ac:dyDescent="0.3">
      <c r="A55" s="245">
        <v>42</v>
      </c>
      <c r="B55" s="199" t="s">
        <v>788</v>
      </c>
      <c r="C55" s="199" t="s">
        <v>789</v>
      </c>
      <c r="D55" s="201"/>
      <c r="E55" s="199"/>
      <c r="F55" s="199"/>
      <c r="G55" s="202"/>
      <c r="H55" s="199"/>
      <c r="I55" s="201"/>
      <c r="J55" s="203"/>
      <c r="K55" s="204"/>
      <c r="L55" s="199"/>
      <c r="M55" s="201"/>
      <c r="N55" s="203"/>
      <c r="O55" s="204"/>
      <c r="P55" s="203"/>
      <c r="Q55" s="205"/>
      <c r="R55" s="205"/>
    </row>
    <row r="56" spans="1:18" x14ac:dyDescent="0.3">
      <c r="A56" s="245">
        <v>43</v>
      </c>
      <c r="B56" s="199" t="s">
        <v>793</v>
      </c>
      <c r="C56" s="199" t="s">
        <v>794</v>
      </c>
      <c r="D56" s="201">
        <v>1090</v>
      </c>
      <c r="E56" s="199" t="s">
        <v>587</v>
      </c>
      <c r="F56" s="199" t="s">
        <v>710</v>
      </c>
      <c r="G56" s="202"/>
      <c r="H56" s="199"/>
      <c r="I56" s="201"/>
      <c r="J56" s="203"/>
      <c r="K56" s="204"/>
      <c r="L56" s="249"/>
      <c r="M56" s="201"/>
      <c r="N56" s="203"/>
      <c r="O56" s="204"/>
      <c r="P56" s="203"/>
      <c r="Q56" s="205"/>
      <c r="R56" s="205"/>
    </row>
    <row r="57" spans="1:18" x14ac:dyDescent="0.3">
      <c r="A57" s="245">
        <v>44</v>
      </c>
      <c r="B57" s="199" t="s">
        <v>795</v>
      </c>
      <c r="C57" s="199" t="s">
        <v>796</v>
      </c>
      <c r="D57" s="201">
        <v>70</v>
      </c>
      <c r="E57" s="199" t="s">
        <v>582</v>
      </c>
      <c r="F57" s="199" t="s">
        <v>790</v>
      </c>
      <c r="G57" s="202">
        <v>15</v>
      </c>
      <c r="H57" s="199" t="s">
        <v>791</v>
      </c>
      <c r="I57" s="201">
        <v>7</v>
      </c>
      <c r="J57" s="203">
        <v>5</v>
      </c>
      <c r="K57" s="204">
        <f>Table6[[#This Row],[سعر/م]]*Table6[[#This Row],[طول/وحدة
(م)]]</f>
        <v>35</v>
      </c>
      <c r="L57" s="249" t="s">
        <v>1004</v>
      </c>
      <c r="M57" s="201">
        <f>Table6[[#This Row],[طول/وحدة
(م)]]*1.1</f>
        <v>7.7000000000000011</v>
      </c>
      <c r="N57" s="203">
        <v>8</v>
      </c>
      <c r="O57" s="204">
        <f>Table6[[#This Row],[سعر/م.ط]]*Table6[[#This Row],[طول/وحدة
(م.ط]]</f>
        <v>61.600000000000009</v>
      </c>
      <c r="P57" s="203">
        <v>80</v>
      </c>
      <c r="Q57" s="205">
        <f>Table6[[#This Row],[تثبيت
وتوصيل]]+Table6[[#This Row],[إجمالي
سلك/وحدة]]+Table6[[#This Row],[إجمالي
ماسورة/وحدة]]+Table6[[#This Row],[سعر العلبة
/وحدة]]</f>
        <v>191.60000000000002</v>
      </c>
      <c r="R57" s="205">
        <f>Table6[[#This Row],[★الوحدة]]*Table6[[#This Row],[الكمية]]</f>
        <v>13412.000000000002</v>
      </c>
    </row>
    <row r="58" spans="1:18" x14ac:dyDescent="0.3">
      <c r="A58" s="245">
        <v>45</v>
      </c>
      <c r="B58" s="199" t="s">
        <v>797</v>
      </c>
      <c r="C58" s="199" t="s">
        <v>798</v>
      </c>
      <c r="D58" s="201">
        <v>4</v>
      </c>
      <c r="E58" s="199" t="s">
        <v>582</v>
      </c>
      <c r="F58" s="199" t="s">
        <v>790</v>
      </c>
      <c r="G58" s="202">
        <v>15</v>
      </c>
      <c r="H58" s="199" t="s">
        <v>791</v>
      </c>
      <c r="I58" s="201">
        <v>7</v>
      </c>
      <c r="J58" s="203">
        <v>5</v>
      </c>
      <c r="K58" s="204">
        <f>Table6[[#This Row],[سعر/م]]*Table6[[#This Row],[طول/وحدة
(م)]]</f>
        <v>35</v>
      </c>
      <c r="L58" s="249" t="s">
        <v>1004</v>
      </c>
      <c r="M58" s="201">
        <f>Table6[[#This Row],[طول/وحدة
(م)]]*1.1</f>
        <v>7.7000000000000011</v>
      </c>
      <c r="N58" s="203">
        <v>8</v>
      </c>
      <c r="O58" s="204">
        <f>Table6[[#This Row],[سعر/م.ط]]*Table6[[#This Row],[طول/وحدة
(م.ط]]</f>
        <v>61.600000000000009</v>
      </c>
      <c r="P58" s="203">
        <v>80</v>
      </c>
      <c r="Q58" s="205">
        <f>Table6[[#This Row],[تثبيت
وتوصيل]]+Table6[[#This Row],[إجمالي
سلك/وحدة]]+Table6[[#This Row],[إجمالي
ماسورة/وحدة]]+Table6[[#This Row],[سعر العلبة
/وحدة]]</f>
        <v>191.60000000000002</v>
      </c>
      <c r="R58" s="205">
        <f>Table6[[#This Row],[★الوحدة]]*Table6[[#This Row],[الكمية]]</f>
        <v>766.40000000000009</v>
      </c>
    </row>
    <row r="59" spans="1:18" x14ac:dyDescent="0.3">
      <c r="A59" s="245">
        <v>46</v>
      </c>
      <c r="B59" s="199" t="s">
        <v>799</v>
      </c>
      <c r="C59" s="199" t="s">
        <v>93</v>
      </c>
      <c r="D59" s="201">
        <v>5</v>
      </c>
      <c r="E59" s="199" t="s">
        <v>582</v>
      </c>
      <c r="F59" s="199" t="s">
        <v>790</v>
      </c>
      <c r="G59" s="202">
        <v>15</v>
      </c>
      <c r="H59" s="199" t="s">
        <v>791</v>
      </c>
      <c r="I59" s="201">
        <v>7</v>
      </c>
      <c r="J59" s="203">
        <v>5</v>
      </c>
      <c r="K59" s="204">
        <f>Table6[[#This Row],[سعر/م]]*Table6[[#This Row],[طول/وحدة
(م)]]</f>
        <v>35</v>
      </c>
      <c r="L59" s="249" t="s">
        <v>1004</v>
      </c>
      <c r="M59" s="201">
        <f>Table6[[#This Row],[طول/وحدة
(م)]]*1.1</f>
        <v>7.7000000000000011</v>
      </c>
      <c r="N59" s="203">
        <v>8</v>
      </c>
      <c r="O59" s="204">
        <f>Table6[[#This Row],[سعر/م.ط]]*Table6[[#This Row],[طول/وحدة
(م.ط]]</f>
        <v>61.600000000000009</v>
      </c>
      <c r="P59" s="203">
        <v>80</v>
      </c>
      <c r="Q59" s="205">
        <f>Table6[[#This Row],[تثبيت
وتوصيل]]+Table6[[#This Row],[إجمالي
سلك/وحدة]]+Table6[[#This Row],[إجمالي
ماسورة/وحدة]]+Table6[[#This Row],[سعر العلبة
/وحدة]]</f>
        <v>191.60000000000002</v>
      </c>
      <c r="R59" s="205">
        <f>Table6[[#This Row],[★الوحدة]]*Table6[[#This Row],[الكمية]]</f>
        <v>958.00000000000011</v>
      </c>
    </row>
    <row r="60" spans="1:18" x14ac:dyDescent="0.3">
      <c r="A60" s="245">
        <v>47</v>
      </c>
      <c r="B60" s="199" t="s">
        <v>800</v>
      </c>
      <c r="C60" s="199" t="s">
        <v>95</v>
      </c>
      <c r="D60" s="201">
        <v>10</v>
      </c>
      <c r="E60" s="199" t="s">
        <v>582</v>
      </c>
      <c r="F60" s="199" t="s">
        <v>790</v>
      </c>
      <c r="G60" s="202">
        <v>15</v>
      </c>
      <c r="H60" s="199" t="s">
        <v>791</v>
      </c>
      <c r="I60" s="201">
        <v>7</v>
      </c>
      <c r="J60" s="203">
        <v>5</v>
      </c>
      <c r="K60" s="204">
        <f>Table6[[#This Row],[سعر/م]]*Table6[[#This Row],[طول/وحدة
(م)]]</f>
        <v>35</v>
      </c>
      <c r="L60" s="249" t="s">
        <v>1004</v>
      </c>
      <c r="M60" s="201">
        <f>Table6[[#This Row],[طول/وحدة
(م)]]*1.1</f>
        <v>7.7000000000000011</v>
      </c>
      <c r="N60" s="203">
        <v>8</v>
      </c>
      <c r="O60" s="204">
        <f>Table6[[#This Row],[سعر/م.ط]]*Table6[[#This Row],[طول/وحدة
(م.ط]]</f>
        <v>61.600000000000009</v>
      </c>
      <c r="P60" s="203">
        <v>80</v>
      </c>
      <c r="Q60" s="205">
        <f>Table6[[#This Row],[تثبيت
وتوصيل]]+Table6[[#This Row],[إجمالي
سلك/وحدة]]+Table6[[#This Row],[إجمالي
ماسورة/وحدة]]+Table6[[#This Row],[سعر العلبة
/وحدة]]</f>
        <v>191.60000000000002</v>
      </c>
      <c r="R60" s="205">
        <f>Table6[[#This Row],[★الوحدة]]*Table6[[#This Row],[الكمية]]</f>
        <v>1916.0000000000002</v>
      </c>
    </row>
    <row r="61" spans="1:18" x14ac:dyDescent="0.3">
      <c r="A61" s="245">
        <v>48</v>
      </c>
      <c r="B61" s="199" t="s">
        <v>801</v>
      </c>
      <c r="C61" s="199" t="s">
        <v>97</v>
      </c>
      <c r="D61" s="201">
        <v>10</v>
      </c>
      <c r="E61" s="199" t="s">
        <v>582</v>
      </c>
      <c r="F61" s="199" t="s">
        <v>790</v>
      </c>
      <c r="G61" s="202">
        <v>15</v>
      </c>
      <c r="H61" s="199" t="s">
        <v>791</v>
      </c>
      <c r="I61" s="201">
        <v>7</v>
      </c>
      <c r="J61" s="203">
        <v>5</v>
      </c>
      <c r="K61" s="204">
        <f>Table6[[#This Row],[سعر/م]]*Table6[[#This Row],[طول/وحدة
(م)]]</f>
        <v>35</v>
      </c>
      <c r="L61" s="249" t="s">
        <v>1004</v>
      </c>
      <c r="M61" s="201">
        <f>Table6[[#This Row],[طول/وحدة
(م)]]*1.1</f>
        <v>7.7000000000000011</v>
      </c>
      <c r="N61" s="203">
        <v>8</v>
      </c>
      <c r="O61" s="204">
        <f>Table6[[#This Row],[سعر/م.ط]]*Table6[[#This Row],[طول/وحدة
(م.ط]]</f>
        <v>61.600000000000009</v>
      </c>
      <c r="P61" s="203">
        <v>80</v>
      </c>
      <c r="Q61" s="205">
        <f>Table6[[#This Row],[تثبيت
وتوصيل]]+Table6[[#This Row],[إجمالي
سلك/وحدة]]+Table6[[#This Row],[إجمالي
ماسورة/وحدة]]+Table6[[#This Row],[سعر العلبة
/وحدة]]</f>
        <v>191.60000000000002</v>
      </c>
      <c r="R61" s="205">
        <f>Table6[[#This Row],[★الوحدة]]*Table6[[#This Row],[الكمية]]</f>
        <v>1916.0000000000002</v>
      </c>
    </row>
    <row r="62" spans="1:18" x14ac:dyDescent="0.3">
      <c r="A62" s="245">
        <v>49</v>
      </c>
      <c r="B62" s="199" t="s">
        <v>802</v>
      </c>
      <c r="C62" s="199" t="s">
        <v>803</v>
      </c>
      <c r="D62" s="201">
        <v>8</v>
      </c>
      <c r="E62" s="199" t="s">
        <v>582</v>
      </c>
      <c r="F62" s="199" t="s">
        <v>790</v>
      </c>
      <c r="G62" s="202">
        <v>15</v>
      </c>
      <c r="H62" s="199" t="s">
        <v>791</v>
      </c>
      <c r="I62" s="201">
        <v>7</v>
      </c>
      <c r="J62" s="203">
        <v>5</v>
      </c>
      <c r="K62" s="204">
        <f>Table6[[#This Row],[سعر/م]]*Table6[[#This Row],[طول/وحدة
(م)]]</f>
        <v>35</v>
      </c>
      <c r="L62" s="249" t="s">
        <v>1004</v>
      </c>
      <c r="M62" s="201">
        <f>Table6[[#This Row],[طول/وحدة
(م)]]*1.1</f>
        <v>7.7000000000000011</v>
      </c>
      <c r="N62" s="203">
        <v>8</v>
      </c>
      <c r="O62" s="204">
        <f>Table6[[#This Row],[سعر/م.ط]]*Table6[[#This Row],[طول/وحدة
(م.ط]]</f>
        <v>61.600000000000009</v>
      </c>
      <c r="P62" s="203">
        <v>80</v>
      </c>
      <c r="Q62" s="205">
        <f>Table6[[#This Row],[تثبيت
وتوصيل]]+Table6[[#This Row],[إجمالي
سلك/وحدة]]+Table6[[#This Row],[إجمالي
ماسورة/وحدة]]+Table6[[#This Row],[سعر العلبة
/وحدة]]</f>
        <v>191.60000000000002</v>
      </c>
      <c r="R62" s="205">
        <f>Table6[[#This Row],[★الوحدة]]*Table6[[#This Row],[الكمية]]</f>
        <v>1532.8000000000002</v>
      </c>
    </row>
    <row r="63" spans="1:18" x14ac:dyDescent="0.3">
      <c r="A63" s="245">
        <v>50</v>
      </c>
      <c r="B63" s="199" t="s">
        <v>804</v>
      </c>
      <c r="C63" s="199" t="s">
        <v>805</v>
      </c>
      <c r="D63" s="201">
        <v>1</v>
      </c>
      <c r="E63" s="199" t="s">
        <v>582</v>
      </c>
      <c r="F63" s="199" t="s">
        <v>790</v>
      </c>
      <c r="G63" s="202"/>
      <c r="H63" s="199"/>
      <c r="I63" s="201"/>
      <c r="J63" s="203"/>
      <c r="K63" s="204"/>
      <c r="L63" s="249"/>
      <c r="M63" s="201"/>
      <c r="N63" s="203"/>
      <c r="O63" s="204"/>
      <c r="P63" s="203"/>
      <c r="Q63" s="205"/>
      <c r="R63" s="205"/>
    </row>
    <row r="64" spans="1:18" x14ac:dyDescent="0.3">
      <c r="A64" s="245">
        <v>51</v>
      </c>
      <c r="B64" s="199" t="s">
        <v>806</v>
      </c>
      <c r="C64" s="199" t="s">
        <v>807</v>
      </c>
      <c r="D64" s="201">
        <v>1</v>
      </c>
      <c r="E64" s="199" t="s">
        <v>582</v>
      </c>
      <c r="F64" s="199" t="s">
        <v>790</v>
      </c>
      <c r="G64" s="202"/>
      <c r="H64" s="199"/>
      <c r="I64" s="201"/>
      <c r="J64" s="203"/>
      <c r="K64" s="204"/>
      <c r="L64" s="249"/>
      <c r="M64" s="201"/>
      <c r="N64" s="203"/>
      <c r="O64" s="204"/>
      <c r="P64" s="203"/>
      <c r="Q64" s="205"/>
      <c r="R64" s="205"/>
    </row>
    <row r="65" spans="1:18" x14ac:dyDescent="0.3">
      <c r="A65" s="245">
        <v>52</v>
      </c>
      <c r="B65" s="199" t="s">
        <v>808</v>
      </c>
      <c r="C65" s="199" t="s">
        <v>809</v>
      </c>
      <c r="D65" s="201">
        <v>1</v>
      </c>
      <c r="E65" s="199" t="s">
        <v>582</v>
      </c>
      <c r="F65" s="199" t="s">
        <v>790</v>
      </c>
      <c r="G65" s="202"/>
      <c r="H65" s="199"/>
      <c r="I65" s="201"/>
      <c r="J65" s="203"/>
      <c r="K65" s="204"/>
      <c r="L65" s="249"/>
      <c r="M65" s="201"/>
      <c r="N65" s="203"/>
      <c r="O65" s="204"/>
      <c r="P65" s="203"/>
      <c r="Q65" s="205"/>
      <c r="R65" s="205"/>
    </row>
    <row r="66" spans="1:18" x14ac:dyDescent="0.3">
      <c r="A66" s="245">
        <v>53</v>
      </c>
      <c r="B66" s="199" t="s">
        <v>810</v>
      </c>
      <c r="C66" s="199" t="s">
        <v>811</v>
      </c>
      <c r="D66" s="201">
        <v>1</v>
      </c>
      <c r="E66" s="199" t="s">
        <v>582</v>
      </c>
      <c r="F66" s="199" t="s">
        <v>790</v>
      </c>
      <c r="G66" s="202"/>
      <c r="H66" s="199"/>
      <c r="I66" s="201"/>
      <c r="J66" s="203"/>
      <c r="K66" s="204"/>
      <c r="L66" s="249"/>
      <c r="M66" s="201"/>
      <c r="N66" s="203"/>
      <c r="O66" s="204"/>
      <c r="P66" s="203"/>
      <c r="Q66" s="205"/>
      <c r="R66" s="205"/>
    </row>
    <row r="67" spans="1:18" ht="14.4" customHeight="1" x14ac:dyDescent="0.3">
      <c r="A67" s="214"/>
      <c r="B67" s="214"/>
      <c r="C67" s="214"/>
      <c r="D67" s="214"/>
      <c r="E67" s="214"/>
      <c r="F67" s="214"/>
      <c r="G67" s="214"/>
      <c r="H67" s="214"/>
      <c r="I67" s="214"/>
      <c r="J67" s="214"/>
      <c r="K67" s="214"/>
      <c r="L67" s="214"/>
      <c r="M67" s="214"/>
      <c r="N67" s="214"/>
      <c r="O67" s="214"/>
      <c r="P67" s="214"/>
      <c r="Q67" s="214"/>
      <c r="R67" s="214"/>
    </row>
    <row r="68" spans="1:18" x14ac:dyDescent="0.3">
      <c r="A68" s="209" t="s">
        <v>812</v>
      </c>
      <c r="B68" s="209"/>
      <c r="C68" s="209"/>
      <c r="D68" s="209"/>
      <c r="E68" s="209"/>
      <c r="F68" s="209"/>
      <c r="G68" s="209"/>
      <c r="H68" s="209"/>
      <c r="I68" s="209"/>
      <c r="J68" s="209"/>
      <c r="K68" s="209"/>
      <c r="L68" s="209"/>
      <c r="M68" s="209"/>
      <c r="N68" s="209"/>
      <c r="O68" s="209"/>
      <c r="P68" s="209"/>
      <c r="Q68" s="209"/>
      <c r="R68" s="210">
        <f>SUBTOTAL(109,R2:R67)</f>
        <v>239418.4</v>
      </c>
    </row>
  </sheetData>
  <pageMargins left="0.75" right="0.75" top="1" bottom="1" header="0.5" footer="0.5"/>
  <pageSetup scale="3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4FBE-F0F3-443E-ADA4-E2EC097A790E}">
  <sheetPr codeName="Sheet6"/>
  <dimension ref="A1:R119"/>
  <sheetViews>
    <sheetView view="pageBreakPreview" topLeftCell="A70" zoomScale="70" zoomScaleNormal="100" zoomScaleSheetLayoutView="70" workbookViewId="0">
      <selection activeCell="J121" sqref="J121"/>
    </sheetView>
  </sheetViews>
  <sheetFormatPr defaultRowHeight="14.4" x14ac:dyDescent="0.3"/>
  <cols>
    <col min="1" max="1" width="13.21875" style="197" customWidth="1"/>
    <col min="2" max="2" width="13.6640625" style="197" customWidth="1"/>
    <col min="3" max="3" width="52.88671875" style="197" bestFit="1" customWidth="1"/>
    <col min="4" max="5" width="13.6640625" style="197" customWidth="1"/>
    <col min="6" max="6" width="14" style="197" bestFit="1" customWidth="1"/>
    <col min="7" max="9" width="13.6640625" style="197" customWidth="1"/>
    <col min="10" max="10" width="14.5546875" style="197" customWidth="1"/>
    <col min="11" max="11" width="14.21875" style="197" customWidth="1"/>
    <col min="12" max="12" width="17.6640625" style="197" bestFit="1" customWidth="1"/>
    <col min="13" max="17" width="14.5546875" style="197" customWidth="1"/>
    <col min="18" max="18" width="15.77734375" style="197" bestFit="1" customWidth="1"/>
    <col min="19" max="16384" width="8.88671875" style="197"/>
  </cols>
  <sheetData>
    <row r="1" spans="1:18" ht="27.6" x14ac:dyDescent="0.3">
      <c r="A1" s="198" t="s">
        <v>671</v>
      </c>
      <c r="B1" s="198" t="s">
        <v>672</v>
      </c>
      <c r="C1" s="198" t="s">
        <v>673</v>
      </c>
      <c r="D1" s="198" t="s">
        <v>674</v>
      </c>
      <c r="E1" s="198" t="s">
        <v>675</v>
      </c>
      <c r="F1" s="198" t="s">
        <v>676</v>
      </c>
      <c r="G1" s="198" t="s">
        <v>677</v>
      </c>
      <c r="H1" s="198" t="s">
        <v>678</v>
      </c>
      <c r="I1" s="198" t="s">
        <v>679</v>
      </c>
      <c r="J1" s="198" t="s">
        <v>680</v>
      </c>
      <c r="K1" s="198" t="s">
        <v>681</v>
      </c>
      <c r="L1" s="198" t="s">
        <v>682</v>
      </c>
      <c r="M1" s="198" t="s">
        <v>879</v>
      </c>
      <c r="N1" s="198" t="s">
        <v>1005</v>
      </c>
      <c r="O1" s="198" t="s">
        <v>683</v>
      </c>
      <c r="P1" s="198" t="s">
        <v>684</v>
      </c>
      <c r="Q1" s="198" t="s">
        <v>685</v>
      </c>
      <c r="R1" s="198" t="s">
        <v>686</v>
      </c>
    </row>
    <row r="3" spans="1:18" ht="25.8" customHeight="1" x14ac:dyDescent="0.3">
      <c r="A3" s="206" t="s">
        <v>813</v>
      </c>
      <c r="B3" s="207"/>
      <c r="C3" s="207"/>
      <c r="D3" s="207"/>
      <c r="E3" s="207"/>
      <c r="F3" s="207"/>
      <c r="G3" s="207"/>
      <c r="H3" s="207"/>
      <c r="I3" s="207"/>
      <c r="J3" s="207"/>
      <c r="K3" s="207"/>
      <c r="L3" s="207"/>
      <c r="M3" s="207"/>
      <c r="N3" s="207"/>
      <c r="O3" s="207"/>
      <c r="P3" s="207"/>
      <c r="Q3" s="207"/>
      <c r="R3" s="207"/>
    </row>
    <row r="4" spans="1:18" x14ac:dyDescent="0.3">
      <c r="A4" s="199">
        <v>1</v>
      </c>
      <c r="B4" s="199" t="s">
        <v>688</v>
      </c>
      <c r="C4" s="200" t="s">
        <v>581</v>
      </c>
      <c r="D4" s="201">
        <v>32</v>
      </c>
      <c r="E4" s="199" t="s">
        <v>582</v>
      </c>
      <c r="F4" s="200" t="s">
        <v>1011</v>
      </c>
      <c r="G4" s="202">
        <v>15</v>
      </c>
      <c r="H4" s="200" t="s">
        <v>1012</v>
      </c>
      <c r="I4" s="201">
        <v>6</v>
      </c>
      <c r="J4" s="203">
        <v>5</v>
      </c>
      <c r="K4" s="204">
        <f>Table7[[#This Row],[سعر/م]]*Table7[[#This Row],[سعر العلبة
/وحدة]]</f>
        <v>75</v>
      </c>
      <c r="L4" s="200" t="s">
        <v>1013</v>
      </c>
      <c r="M4" s="201">
        <f>1.1*Table7[[#This Row],[طول/وحدة
(م)]]</f>
        <v>6.6000000000000005</v>
      </c>
      <c r="N4" s="203">
        <v>8</v>
      </c>
      <c r="O4" s="204">
        <f>Table7[[#This Row],[سعر/م.ط]]*Table7[[#This Row],[طول/وحدة
(م)2]]</f>
        <v>52.800000000000004</v>
      </c>
      <c r="P4" s="203"/>
      <c r="Q4" s="205">
        <f>Table7[[#This Row],[تثبيت
وتوصيل]]+Table7[[#This Row],[إجمالي
سلك/وحدة]]+Table7[[#This Row],[إجمالي
ماسورة/وحدة]]+Table7[[#This Row],[سعر العلبة
/وحدة]]</f>
        <v>142.80000000000001</v>
      </c>
      <c r="R4" s="205">
        <f>Table7[[#This Row],[★الوحدة]]*Table7[[#This Row],[الكمية]]</f>
        <v>4569.6000000000004</v>
      </c>
    </row>
    <row r="5" spans="1:18" x14ac:dyDescent="0.3">
      <c r="A5" s="199">
        <v>2</v>
      </c>
      <c r="B5" s="199" t="s">
        <v>693</v>
      </c>
      <c r="C5" s="200" t="s">
        <v>583</v>
      </c>
      <c r="D5" s="201">
        <v>4</v>
      </c>
      <c r="E5" s="199" t="s">
        <v>582</v>
      </c>
      <c r="F5" s="200" t="s">
        <v>1011</v>
      </c>
      <c r="G5" s="202">
        <v>15</v>
      </c>
      <c r="H5" s="200" t="s">
        <v>1012</v>
      </c>
      <c r="I5" s="201">
        <v>6</v>
      </c>
      <c r="J5" s="203">
        <v>5</v>
      </c>
      <c r="K5" s="204">
        <f>Table7[[#This Row],[سعر/م]]*Table7[[#This Row],[سعر العلبة
/وحدة]]</f>
        <v>75</v>
      </c>
      <c r="L5" s="200" t="s">
        <v>1013</v>
      </c>
      <c r="M5" s="201">
        <f>1.1*Table7[[#This Row],[طول/وحدة
(م)]]</f>
        <v>6.6000000000000005</v>
      </c>
      <c r="N5" s="203">
        <v>8</v>
      </c>
      <c r="O5" s="204">
        <f>Table7[[#This Row],[سعر/م.ط]]*Table7[[#This Row],[طول/وحدة
(م)2]]</f>
        <v>52.800000000000004</v>
      </c>
      <c r="P5" s="203"/>
      <c r="Q5" s="205">
        <f>Table7[[#This Row],[تثبيت
وتوصيل]]+Table7[[#This Row],[إجمالي
سلك/وحدة]]+Table7[[#This Row],[إجمالي
ماسورة/وحدة]]+Table7[[#This Row],[سعر العلبة
/وحدة]]</f>
        <v>142.80000000000001</v>
      </c>
      <c r="R5" s="205">
        <f>Table7[[#This Row],[★الوحدة]]*Table7[[#This Row],[الكمية]]</f>
        <v>571.20000000000005</v>
      </c>
    </row>
    <row r="6" spans="1:18" x14ac:dyDescent="0.3">
      <c r="A6" s="199">
        <v>3</v>
      </c>
      <c r="B6" s="199" t="s">
        <v>695</v>
      </c>
      <c r="C6" s="200" t="s">
        <v>584</v>
      </c>
      <c r="D6" s="201">
        <v>8</v>
      </c>
      <c r="E6" s="199" t="s">
        <v>582</v>
      </c>
      <c r="F6" s="200" t="s">
        <v>1011</v>
      </c>
      <c r="G6" s="202">
        <v>15</v>
      </c>
      <c r="H6" s="200" t="s">
        <v>1012</v>
      </c>
      <c r="I6" s="201">
        <v>6</v>
      </c>
      <c r="J6" s="203">
        <v>5</v>
      </c>
      <c r="K6" s="204">
        <f>Table7[[#This Row],[سعر/م]]*Table7[[#This Row],[سعر العلبة
/وحدة]]</f>
        <v>75</v>
      </c>
      <c r="L6" s="200" t="s">
        <v>1013</v>
      </c>
      <c r="M6" s="201">
        <f>1.1*Table7[[#This Row],[طول/وحدة
(م)]]</f>
        <v>6.6000000000000005</v>
      </c>
      <c r="N6" s="203">
        <v>8</v>
      </c>
      <c r="O6" s="204">
        <f>Table7[[#This Row],[سعر/م.ط]]*Table7[[#This Row],[طول/وحدة
(م)2]]</f>
        <v>52.800000000000004</v>
      </c>
      <c r="P6" s="203"/>
      <c r="Q6" s="205">
        <f>Table7[[#This Row],[تثبيت
وتوصيل]]+Table7[[#This Row],[إجمالي
سلك/وحدة]]+Table7[[#This Row],[إجمالي
ماسورة/وحدة]]+Table7[[#This Row],[سعر العلبة
/وحدة]]</f>
        <v>142.80000000000001</v>
      </c>
      <c r="R6" s="205">
        <f>Table7[[#This Row],[★الوحدة]]*Table7[[#This Row],[الكمية]]</f>
        <v>1142.4000000000001</v>
      </c>
    </row>
    <row r="7" spans="1:18" x14ac:dyDescent="0.3">
      <c r="A7" s="199">
        <v>4</v>
      </c>
      <c r="B7" s="199" t="s">
        <v>697</v>
      </c>
      <c r="C7" s="200" t="s">
        <v>585</v>
      </c>
      <c r="D7" s="201">
        <v>6</v>
      </c>
      <c r="E7" s="199" t="s">
        <v>582</v>
      </c>
      <c r="F7" s="200" t="s">
        <v>1011</v>
      </c>
      <c r="G7" s="202">
        <v>15</v>
      </c>
      <c r="H7" s="200" t="s">
        <v>1012</v>
      </c>
      <c r="I7" s="201">
        <v>6</v>
      </c>
      <c r="J7" s="203">
        <v>5</v>
      </c>
      <c r="K7" s="204">
        <f>Table7[[#This Row],[سعر/م]]*Table7[[#This Row],[سعر العلبة
/وحدة]]</f>
        <v>75</v>
      </c>
      <c r="L7" s="200" t="s">
        <v>1013</v>
      </c>
      <c r="M7" s="201">
        <f>1.1*Table7[[#This Row],[طول/وحدة
(م)]]</f>
        <v>6.6000000000000005</v>
      </c>
      <c r="N7" s="203">
        <v>8</v>
      </c>
      <c r="O7" s="204">
        <f>Table7[[#This Row],[سعر/م.ط]]*Table7[[#This Row],[طول/وحدة
(م)2]]</f>
        <v>52.800000000000004</v>
      </c>
      <c r="P7" s="203"/>
      <c r="Q7" s="205">
        <f>Table7[[#This Row],[تثبيت
وتوصيل]]+Table7[[#This Row],[إجمالي
سلك/وحدة]]+Table7[[#This Row],[إجمالي
ماسورة/وحدة]]+Table7[[#This Row],[سعر العلبة
/وحدة]]</f>
        <v>142.80000000000001</v>
      </c>
      <c r="R7" s="205">
        <f>Table7[[#This Row],[★الوحدة]]*Table7[[#This Row],[الكمية]]</f>
        <v>856.80000000000007</v>
      </c>
    </row>
    <row r="9" spans="1:18" x14ac:dyDescent="0.3">
      <c r="A9" s="206" t="s">
        <v>817</v>
      </c>
      <c r="B9" s="207"/>
      <c r="C9" s="207"/>
      <c r="D9" s="207"/>
      <c r="E9" s="207"/>
      <c r="F9" s="207"/>
      <c r="G9" s="207"/>
      <c r="H9" s="207"/>
      <c r="I9" s="207"/>
      <c r="J9" s="207"/>
      <c r="K9" s="207"/>
      <c r="L9" s="207"/>
      <c r="M9" s="207"/>
      <c r="N9" s="207"/>
      <c r="O9" s="207"/>
      <c r="P9" s="207"/>
      <c r="Q9" s="207"/>
      <c r="R9" s="207"/>
    </row>
    <row r="10" spans="1:18" x14ac:dyDescent="0.3">
      <c r="A10" s="199">
        <v>8</v>
      </c>
      <c r="B10" s="199" t="s">
        <v>705</v>
      </c>
      <c r="C10" s="200" t="s">
        <v>586</v>
      </c>
      <c r="D10" s="201">
        <v>850</v>
      </c>
      <c r="E10" s="199" t="s">
        <v>587</v>
      </c>
      <c r="F10" s="200" t="s">
        <v>727</v>
      </c>
      <c r="G10" s="202">
        <v>4.95</v>
      </c>
      <c r="H10" s="200" t="s">
        <v>728</v>
      </c>
      <c r="I10" s="201">
        <v>3</v>
      </c>
      <c r="J10" s="203">
        <v>1.65</v>
      </c>
      <c r="K10" s="204">
        <f>Table7[[#This Row],[سعر/م]]*Table7[[#This Row],[طول/وحدة
(م)]]</f>
        <v>4.9499999999999993</v>
      </c>
      <c r="L10" s="200" t="s">
        <v>729</v>
      </c>
      <c r="M10" s="201">
        <v>4</v>
      </c>
      <c r="N10" s="203">
        <v>0.99</v>
      </c>
      <c r="O10" s="204">
        <f>Table7[[#This Row],[سعر/م.ط]]*Table7[[#This Row],[طول/وحدة
(م)2]]</f>
        <v>3.96</v>
      </c>
      <c r="P10" s="203">
        <v>5.94</v>
      </c>
      <c r="Q10" s="205">
        <f>Table7[[#This Row],[تثبيت
وتوصيل]]+Table7[[#This Row],[إجمالي
سلك/وحدة]]+Table7[[#This Row],[إجمالي
ماسورة/وحدة]]+Table7[[#This Row],[سعر العلبة
/وحدة]]</f>
        <v>19.8</v>
      </c>
      <c r="R10" s="205">
        <f>Table7[[#This Row],[★الوحدة]]*Table7[[#This Row],[الكمية]]</f>
        <v>16830</v>
      </c>
    </row>
    <row r="11" spans="1:18" x14ac:dyDescent="0.3">
      <c r="A11" s="199">
        <v>9</v>
      </c>
      <c r="B11" s="199" t="s">
        <v>708</v>
      </c>
      <c r="C11" s="200" t="s">
        <v>588</v>
      </c>
      <c r="D11" s="201">
        <v>1200</v>
      </c>
      <c r="E11" s="199" t="s">
        <v>587</v>
      </c>
      <c r="F11" s="200" t="s">
        <v>710</v>
      </c>
      <c r="G11" s="202">
        <v>11.22</v>
      </c>
      <c r="H11" s="200" t="s">
        <v>711</v>
      </c>
      <c r="I11" s="201">
        <v>1</v>
      </c>
      <c r="J11" s="203">
        <v>0.66</v>
      </c>
      <c r="K11" s="204">
        <f>Table7[[#This Row],[سعر/م]]*Table7[[#This Row],[طول/وحدة
(م)]]</f>
        <v>0.66</v>
      </c>
      <c r="L11" s="200" t="s">
        <v>1065</v>
      </c>
      <c r="M11" s="201">
        <v>1</v>
      </c>
      <c r="N11" s="203">
        <v>0.66</v>
      </c>
      <c r="O11" s="204">
        <f>Table7[[#This Row],[سعر/م.ط]]*Table7[[#This Row],[طول/وحدة
(م)2]]</f>
        <v>0.66</v>
      </c>
      <c r="P11" s="203">
        <v>0.66</v>
      </c>
      <c r="Q11" s="205">
        <f>Table7[[#This Row],[تثبيت
وتوصيل]]+Table7[[#This Row],[إجمالي
سلك/وحدة]]+Table7[[#This Row],[إجمالي
ماسورة/وحدة]]+Table7[[#This Row],[سعر العلبة
/وحدة]]</f>
        <v>13.200000000000001</v>
      </c>
      <c r="R11" s="205">
        <f>Table7[[#This Row],[★الوحدة]]*Table7[[#This Row],[الكمية]]</f>
        <v>15840.000000000002</v>
      </c>
    </row>
    <row r="12" spans="1:18" x14ac:dyDescent="0.3">
      <c r="A12" s="199">
        <v>10</v>
      </c>
      <c r="B12" s="199" t="s">
        <v>712</v>
      </c>
      <c r="C12" s="200" t="s">
        <v>118</v>
      </c>
      <c r="D12" s="201">
        <v>2</v>
      </c>
      <c r="E12" s="199" t="s">
        <v>582</v>
      </c>
      <c r="F12" s="200" t="s">
        <v>814</v>
      </c>
      <c r="G12" s="202">
        <v>1430</v>
      </c>
      <c r="H12" s="200" t="s">
        <v>815</v>
      </c>
      <c r="I12" s="201">
        <v>1</v>
      </c>
      <c r="J12" s="203">
        <v>220</v>
      </c>
      <c r="K12" s="204">
        <f>Table7[[#This Row],[سعر/م]]*Table7[[#This Row],[طول/وحدة
(م)]]</f>
        <v>220</v>
      </c>
      <c r="L12" s="200" t="s">
        <v>816</v>
      </c>
      <c r="M12" s="201">
        <v>1</v>
      </c>
      <c r="N12" s="203">
        <v>220</v>
      </c>
      <c r="O12" s="204">
        <f>Table7[[#This Row],[سعر/م.ط]]*Table7[[#This Row],[طول/وحدة
(م)2]]</f>
        <v>220</v>
      </c>
      <c r="P12" s="203">
        <v>330</v>
      </c>
      <c r="Q12" s="205">
        <f>Table7[[#This Row],[تثبيت
وتوصيل]]+Table7[[#This Row],[إجمالي
سلك/وحدة]]+Table7[[#This Row],[إجمالي
ماسورة/وحدة]]+Table7[[#This Row],[سعر العلبة
/وحدة]]</f>
        <v>2200</v>
      </c>
      <c r="R12" s="205">
        <f>Table7[[#This Row],[★الوحدة]]*Table7[[#This Row],[الكمية]]</f>
        <v>4400</v>
      </c>
    </row>
    <row r="13" spans="1:18" x14ac:dyDescent="0.3">
      <c r="A13" s="199">
        <v>11</v>
      </c>
      <c r="B13" s="199" t="s">
        <v>714</v>
      </c>
      <c r="C13" s="200" t="s">
        <v>589</v>
      </c>
      <c r="D13" s="201">
        <v>2</v>
      </c>
      <c r="E13" s="199" t="s">
        <v>582</v>
      </c>
      <c r="F13" s="200" t="s">
        <v>814</v>
      </c>
      <c r="G13" s="202">
        <v>357.5</v>
      </c>
      <c r="H13" s="200" t="s">
        <v>815</v>
      </c>
      <c r="I13" s="201">
        <v>1</v>
      </c>
      <c r="J13" s="203">
        <v>55</v>
      </c>
      <c r="K13" s="204">
        <f>Table7[[#This Row],[سعر/م]]*Table7[[#This Row],[طول/وحدة
(م)]]</f>
        <v>55</v>
      </c>
      <c r="L13" s="200" t="s">
        <v>816</v>
      </c>
      <c r="M13" s="201">
        <v>1</v>
      </c>
      <c r="N13" s="203">
        <v>55</v>
      </c>
      <c r="O13" s="204">
        <f>Table7[[#This Row],[سعر/م.ط]]*Table7[[#This Row],[طول/وحدة
(م)2]]</f>
        <v>55</v>
      </c>
      <c r="P13" s="203">
        <v>82.5</v>
      </c>
      <c r="Q13" s="205">
        <f>Table7[[#This Row],[تثبيت
وتوصيل]]+Table7[[#This Row],[إجمالي
سلك/وحدة]]+Table7[[#This Row],[إجمالي
ماسورة/وحدة]]+Table7[[#This Row],[سعر العلبة
/وحدة]]</f>
        <v>550</v>
      </c>
      <c r="R13" s="205">
        <f>Table7[[#This Row],[★الوحدة]]*Table7[[#This Row],[الكمية]]</f>
        <v>1100</v>
      </c>
    </row>
    <row r="14" spans="1:18" x14ac:dyDescent="0.3">
      <c r="A14" s="199">
        <v>12</v>
      </c>
      <c r="B14" s="199" t="s">
        <v>716</v>
      </c>
      <c r="C14" s="200" t="s">
        <v>590</v>
      </c>
      <c r="D14" s="201">
        <v>10</v>
      </c>
      <c r="E14" s="199" t="s">
        <v>582</v>
      </c>
      <c r="F14" s="200" t="s">
        <v>727</v>
      </c>
      <c r="G14" s="202">
        <v>77</v>
      </c>
      <c r="H14" s="200" t="s">
        <v>728</v>
      </c>
      <c r="I14" s="201">
        <v>3</v>
      </c>
      <c r="J14" s="203">
        <v>25.667000000000002</v>
      </c>
      <c r="K14" s="204">
        <f>Table7[[#This Row],[سعر/م]]*Table7[[#This Row],[طول/وحدة
(م)]]</f>
        <v>77.001000000000005</v>
      </c>
      <c r="L14" s="200" t="s">
        <v>729</v>
      </c>
      <c r="M14" s="201">
        <v>4</v>
      </c>
      <c r="N14" s="203">
        <v>15.4</v>
      </c>
      <c r="O14" s="204">
        <f>Table7[[#This Row],[سعر/م.ط]]*Table7[[#This Row],[طول/وحدة
(م)2]]</f>
        <v>61.6</v>
      </c>
      <c r="P14" s="203">
        <v>92.4</v>
      </c>
      <c r="Q14" s="205">
        <f>Table7[[#This Row],[تثبيت
وتوصيل]]+Table7[[#This Row],[إجمالي
سلك/وحدة]]+Table7[[#This Row],[إجمالي
ماسورة/وحدة]]+Table7[[#This Row],[سعر العلبة
/وحدة]]</f>
        <v>308.00099999999998</v>
      </c>
      <c r="R14" s="205">
        <f>Table7[[#This Row],[★الوحدة]]*Table7[[#This Row],[الكمية]]</f>
        <v>3080.0099999999998</v>
      </c>
    </row>
    <row r="15" spans="1:18" x14ac:dyDescent="0.3">
      <c r="A15" s="199">
        <v>13</v>
      </c>
      <c r="B15" s="199" t="s">
        <v>718</v>
      </c>
      <c r="C15" s="200" t="s">
        <v>591</v>
      </c>
      <c r="D15" s="201">
        <v>2</v>
      </c>
      <c r="E15" s="199" t="s">
        <v>582</v>
      </c>
      <c r="F15" s="200" t="s">
        <v>814</v>
      </c>
      <c r="G15" s="202">
        <v>286</v>
      </c>
      <c r="H15" s="200" t="s">
        <v>815</v>
      </c>
      <c r="I15" s="201">
        <v>1</v>
      </c>
      <c r="J15" s="203">
        <v>44</v>
      </c>
      <c r="K15" s="204">
        <f>Table7[[#This Row],[سعر/م]]*Table7[[#This Row],[طول/وحدة
(م)]]</f>
        <v>44</v>
      </c>
      <c r="L15" s="200" t="s">
        <v>816</v>
      </c>
      <c r="M15" s="201">
        <v>1</v>
      </c>
      <c r="N15" s="203">
        <v>44</v>
      </c>
      <c r="O15" s="204">
        <f>Table7[[#This Row],[سعر/م.ط]]*Table7[[#This Row],[طول/وحدة
(م)2]]</f>
        <v>44</v>
      </c>
      <c r="P15" s="203">
        <v>66</v>
      </c>
      <c r="Q15" s="205">
        <f>Table7[[#This Row],[تثبيت
وتوصيل]]+Table7[[#This Row],[إجمالي
سلك/وحدة]]+Table7[[#This Row],[إجمالي
ماسورة/وحدة]]+Table7[[#This Row],[سعر العلبة
/وحدة]]</f>
        <v>440</v>
      </c>
      <c r="R15" s="205">
        <f>Table7[[#This Row],[★الوحدة]]*Table7[[#This Row],[الكمية]]</f>
        <v>880</v>
      </c>
    </row>
    <row r="16" spans="1:18" x14ac:dyDescent="0.3">
      <c r="A16" s="199">
        <v>14</v>
      </c>
      <c r="B16" s="199" t="s">
        <v>720</v>
      </c>
      <c r="C16" s="200" t="s">
        <v>592</v>
      </c>
      <c r="D16" s="201">
        <v>4</v>
      </c>
      <c r="E16" s="199" t="s">
        <v>582</v>
      </c>
      <c r="F16" s="200" t="s">
        <v>814</v>
      </c>
      <c r="G16" s="202">
        <v>2145</v>
      </c>
      <c r="H16" s="200" t="s">
        <v>815</v>
      </c>
      <c r="I16" s="201">
        <v>1</v>
      </c>
      <c r="J16" s="203">
        <v>330</v>
      </c>
      <c r="K16" s="204">
        <f>Table7[[#This Row],[سعر/م]]*Table7[[#This Row],[طول/وحدة
(م)]]</f>
        <v>330</v>
      </c>
      <c r="L16" s="200" t="s">
        <v>816</v>
      </c>
      <c r="M16" s="201">
        <v>1</v>
      </c>
      <c r="N16" s="203">
        <v>330</v>
      </c>
      <c r="O16" s="204">
        <f>Table7[[#This Row],[سعر/م.ط]]*Table7[[#This Row],[طول/وحدة
(م)2]]</f>
        <v>330</v>
      </c>
      <c r="P16" s="203">
        <v>495</v>
      </c>
      <c r="Q16" s="205">
        <f>Table7[[#This Row],[تثبيت
وتوصيل]]+Table7[[#This Row],[إجمالي
سلك/وحدة]]+Table7[[#This Row],[إجمالي
ماسورة/وحدة]]+Table7[[#This Row],[سعر العلبة
/وحدة]]</f>
        <v>3300</v>
      </c>
      <c r="R16" s="205">
        <f>Table7[[#This Row],[★الوحدة]]*Table7[[#This Row],[الكمية]]</f>
        <v>13200</v>
      </c>
    </row>
    <row r="17" spans="1:18" x14ac:dyDescent="0.3">
      <c r="A17" s="199">
        <v>15</v>
      </c>
      <c r="B17" s="199" t="s">
        <v>722</v>
      </c>
      <c r="C17" s="200" t="s">
        <v>593</v>
      </c>
      <c r="D17" s="201">
        <v>2</v>
      </c>
      <c r="E17" s="199" t="s">
        <v>582</v>
      </c>
      <c r="F17" s="200" t="s">
        <v>814</v>
      </c>
      <c r="G17" s="202">
        <v>3217.5</v>
      </c>
      <c r="H17" s="200" t="s">
        <v>815</v>
      </c>
      <c r="I17" s="201">
        <v>1</v>
      </c>
      <c r="J17" s="203">
        <v>495</v>
      </c>
      <c r="K17" s="204">
        <f>Table7[[#This Row],[سعر/م]]*Table7[[#This Row],[طول/وحدة
(م)]]</f>
        <v>495</v>
      </c>
      <c r="L17" s="200" t="s">
        <v>816</v>
      </c>
      <c r="M17" s="201">
        <v>1</v>
      </c>
      <c r="N17" s="203">
        <v>495</v>
      </c>
      <c r="O17" s="204">
        <f>Table7[[#This Row],[سعر/م.ط]]*Table7[[#This Row],[طول/وحدة
(م)2]]</f>
        <v>495</v>
      </c>
      <c r="P17" s="203">
        <v>742.5</v>
      </c>
      <c r="Q17" s="205">
        <f>Table7[[#This Row],[تثبيت
وتوصيل]]+Table7[[#This Row],[إجمالي
سلك/وحدة]]+Table7[[#This Row],[إجمالي
ماسورة/وحدة]]+Table7[[#This Row],[سعر العلبة
/وحدة]]</f>
        <v>4950</v>
      </c>
      <c r="R17" s="205">
        <f>Table7[[#This Row],[★الوحدة]]*Table7[[#This Row],[الكمية]]</f>
        <v>9900</v>
      </c>
    </row>
    <row r="18" spans="1:18" x14ac:dyDescent="0.3">
      <c r="A18" s="199">
        <v>16</v>
      </c>
      <c r="B18" s="199" t="s">
        <v>725</v>
      </c>
      <c r="C18" s="200" t="s">
        <v>594</v>
      </c>
      <c r="D18" s="201">
        <v>1</v>
      </c>
      <c r="E18" s="199" t="s">
        <v>45</v>
      </c>
      <c r="F18" s="200" t="s">
        <v>814</v>
      </c>
      <c r="G18" s="202">
        <v>2145</v>
      </c>
      <c r="H18" s="200" t="s">
        <v>815</v>
      </c>
      <c r="I18" s="201">
        <v>1</v>
      </c>
      <c r="J18" s="203">
        <v>330</v>
      </c>
      <c r="K18" s="204">
        <f>Table7[[#This Row],[سعر/م]]*Table7[[#This Row],[طول/وحدة
(م)]]</f>
        <v>330</v>
      </c>
      <c r="L18" s="200" t="s">
        <v>816</v>
      </c>
      <c r="M18" s="201">
        <v>1</v>
      </c>
      <c r="N18" s="203">
        <v>330</v>
      </c>
      <c r="O18" s="204">
        <f>Table7[[#This Row],[سعر/م.ط]]*Table7[[#This Row],[طول/وحدة
(م)2]]</f>
        <v>330</v>
      </c>
      <c r="P18" s="203">
        <v>495</v>
      </c>
      <c r="Q18" s="205">
        <f>Table7[[#This Row],[تثبيت
وتوصيل]]+Table7[[#This Row],[إجمالي
سلك/وحدة]]+Table7[[#This Row],[إجمالي
ماسورة/وحدة]]+Table7[[#This Row],[سعر العلبة
/وحدة]]</f>
        <v>3300</v>
      </c>
      <c r="R18" s="205">
        <f>Table7[[#This Row],[★الوحدة]]*Table7[[#This Row],[الكمية]]</f>
        <v>3300</v>
      </c>
    </row>
    <row r="20" spans="1:18" x14ac:dyDescent="0.3">
      <c r="A20" s="206" t="s">
        <v>819</v>
      </c>
      <c r="B20" s="207"/>
      <c r="C20" s="207"/>
      <c r="D20" s="207"/>
      <c r="E20" s="207"/>
      <c r="F20" s="207"/>
      <c r="G20" s="207"/>
      <c r="H20" s="207"/>
      <c r="I20" s="207"/>
      <c r="J20" s="207"/>
      <c r="K20" s="207"/>
      <c r="L20" s="207"/>
      <c r="M20" s="207"/>
      <c r="N20" s="207"/>
      <c r="O20" s="207"/>
      <c r="P20" s="207"/>
      <c r="Q20" s="207"/>
      <c r="R20" s="207"/>
    </row>
    <row r="21" spans="1:18" x14ac:dyDescent="0.3">
      <c r="A21" s="199">
        <v>26</v>
      </c>
      <c r="B21" s="199" t="s">
        <v>752</v>
      </c>
      <c r="C21" s="200" t="s">
        <v>603</v>
      </c>
      <c r="D21" s="201">
        <v>650</v>
      </c>
      <c r="E21" s="199" t="s">
        <v>587</v>
      </c>
      <c r="F21" s="200" t="s">
        <v>727</v>
      </c>
      <c r="G21" s="202">
        <v>15</v>
      </c>
      <c r="H21" s="200" t="s">
        <v>1012</v>
      </c>
      <c r="I21" s="201">
        <v>40</v>
      </c>
      <c r="J21" s="203">
        <v>5</v>
      </c>
      <c r="K21" s="204">
        <f>Table7[[#This Row],[سعر/م]]*Table7[[#This Row],[طول/وحدة
(م)]]</f>
        <v>200</v>
      </c>
      <c r="L21" s="200" t="s">
        <v>1016</v>
      </c>
      <c r="M21" s="201">
        <f>1.1*Table7[[#This Row],[طول/وحدة
(م)]]</f>
        <v>44</v>
      </c>
      <c r="N21" s="203">
        <v>4</v>
      </c>
      <c r="O21" s="204">
        <f>Table7[[#This Row],[سعر/م.ط]]*Table7[[#This Row],[طول/وحدة
(م)2]]</f>
        <v>176</v>
      </c>
      <c r="P21" s="203"/>
      <c r="Q21" s="205"/>
      <c r="R21" s="205"/>
    </row>
    <row r="22" spans="1:18" x14ac:dyDescent="0.3">
      <c r="A22" s="199">
        <v>27</v>
      </c>
      <c r="B22" s="199" t="s">
        <v>754</v>
      </c>
      <c r="C22" s="200" t="s">
        <v>604</v>
      </c>
      <c r="D22" s="201">
        <v>1100</v>
      </c>
      <c r="E22" s="199" t="s">
        <v>587</v>
      </c>
      <c r="F22" s="200" t="s">
        <v>710</v>
      </c>
      <c r="G22" s="202">
        <v>14.025</v>
      </c>
      <c r="H22" s="200" t="s">
        <v>1012</v>
      </c>
      <c r="I22" s="201">
        <v>40</v>
      </c>
      <c r="J22" s="203">
        <v>5</v>
      </c>
      <c r="K22" s="204">
        <f>Table7[[#This Row],[سعر/م]]*Table7[[#This Row],[طول/وحدة
(م)]]</f>
        <v>200</v>
      </c>
      <c r="L22" s="200" t="s">
        <v>1016</v>
      </c>
      <c r="M22" s="201">
        <f>1.1*Table7[[#This Row],[طول/وحدة
(م)]]</f>
        <v>44</v>
      </c>
      <c r="N22" s="203">
        <v>4</v>
      </c>
      <c r="O22" s="204">
        <f>Table7[[#This Row],[سعر/م.ط]]*Table7[[#This Row],[طول/وحدة
(م)2]]</f>
        <v>176</v>
      </c>
      <c r="P22" s="203"/>
      <c r="Q22" s="205"/>
      <c r="R22" s="205"/>
    </row>
    <row r="23" spans="1:18" x14ac:dyDescent="0.3">
      <c r="A23" s="199">
        <v>28</v>
      </c>
      <c r="B23" s="199" t="s">
        <v>756</v>
      </c>
      <c r="C23" s="200" t="s">
        <v>605</v>
      </c>
      <c r="D23" s="201">
        <v>4</v>
      </c>
      <c r="E23" s="199" t="s">
        <v>582</v>
      </c>
      <c r="F23" s="200" t="s">
        <v>814</v>
      </c>
      <c r="G23" s="202">
        <v>858</v>
      </c>
      <c r="H23" s="200" t="s">
        <v>1012</v>
      </c>
      <c r="I23" s="201">
        <v>40</v>
      </c>
      <c r="J23" s="203">
        <v>5</v>
      </c>
      <c r="K23" s="204">
        <f>Table7[[#This Row],[سعر/م]]*Table7[[#This Row],[طول/وحدة
(م)]]</f>
        <v>200</v>
      </c>
      <c r="L23" s="200" t="s">
        <v>1016</v>
      </c>
      <c r="M23" s="201">
        <f>1.1*Table7[[#This Row],[طول/وحدة
(م)]]</f>
        <v>44</v>
      </c>
      <c r="N23" s="203">
        <v>4</v>
      </c>
      <c r="O23" s="204">
        <f>Table7[[#This Row],[سعر/م.ط]]*Table7[[#This Row],[طول/وحدة
(م)2]]</f>
        <v>176</v>
      </c>
      <c r="P23" s="203"/>
      <c r="Q23" s="205"/>
      <c r="R23" s="205"/>
    </row>
    <row r="24" spans="1:18" x14ac:dyDescent="0.3">
      <c r="A24" s="199">
        <v>29</v>
      </c>
      <c r="B24" s="199" t="s">
        <v>758</v>
      </c>
      <c r="C24" s="200" t="s">
        <v>606</v>
      </c>
      <c r="D24" s="201">
        <v>2</v>
      </c>
      <c r="E24" s="199" t="s">
        <v>582</v>
      </c>
      <c r="F24" s="200" t="s">
        <v>814</v>
      </c>
      <c r="G24" s="202">
        <v>321.75</v>
      </c>
      <c r="H24" s="200" t="s">
        <v>1012</v>
      </c>
      <c r="I24" s="201">
        <v>40</v>
      </c>
      <c r="J24" s="203">
        <v>5</v>
      </c>
      <c r="K24" s="204">
        <f>Table7[[#This Row],[سعر/م]]*Table7[[#This Row],[طول/وحدة
(م)]]</f>
        <v>200</v>
      </c>
      <c r="L24" s="200" t="s">
        <v>1016</v>
      </c>
      <c r="M24" s="201">
        <f>1.1*Table7[[#This Row],[طول/وحدة
(م)]]</f>
        <v>44</v>
      </c>
      <c r="N24" s="203">
        <v>4</v>
      </c>
      <c r="O24" s="204">
        <f>Table7[[#This Row],[سعر/م.ط]]*Table7[[#This Row],[طول/وحدة
(م)2]]</f>
        <v>176</v>
      </c>
      <c r="P24" s="203"/>
      <c r="Q24" s="205"/>
      <c r="R24" s="205"/>
    </row>
    <row r="25" spans="1:18" x14ac:dyDescent="0.3">
      <c r="A25" s="199">
        <v>30</v>
      </c>
      <c r="B25" s="199" t="s">
        <v>760</v>
      </c>
      <c r="C25" s="200" t="s">
        <v>607</v>
      </c>
      <c r="D25" s="201">
        <v>1</v>
      </c>
      <c r="E25" s="199" t="s">
        <v>582</v>
      </c>
      <c r="F25" s="200" t="s">
        <v>814</v>
      </c>
      <c r="G25" s="202">
        <v>715</v>
      </c>
      <c r="H25" s="200" t="s">
        <v>1012</v>
      </c>
      <c r="I25" s="201">
        <v>40</v>
      </c>
      <c r="J25" s="203">
        <v>5</v>
      </c>
      <c r="K25" s="204">
        <f>Table7[[#This Row],[سعر/م]]*Table7[[#This Row],[طول/وحدة
(م)]]</f>
        <v>200</v>
      </c>
      <c r="L25" s="200" t="s">
        <v>1016</v>
      </c>
      <c r="M25" s="201">
        <f>1.1*Table7[[#This Row],[طول/وحدة
(م)]]</f>
        <v>44</v>
      </c>
      <c r="N25" s="203">
        <v>4</v>
      </c>
      <c r="O25" s="204">
        <f>Table7[[#This Row],[سعر/م.ط]]*Table7[[#This Row],[طول/وحدة
(م)2]]</f>
        <v>176</v>
      </c>
      <c r="P25" s="203"/>
      <c r="Q25" s="205"/>
      <c r="R25" s="205"/>
    </row>
    <row r="27" spans="1:18" x14ac:dyDescent="0.3">
      <c r="A27" s="206" t="s">
        <v>818</v>
      </c>
      <c r="B27" s="207"/>
      <c r="C27" s="207"/>
      <c r="D27" s="207"/>
      <c r="E27" s="207"/>
      <c r="F27" s="207"/>
      <c r="G27" s="207"/>
      <c r="H27" s="207"/>
      <c r="I27" s="207"/>
      <c r="J27" s="207"/>
      <c r="K27" s="207"/>
      <c r="L27" s="207"/>
      <c r="M27" s="207"/>
      <c r="N27" s="207"/>
      <c r="O27" s="207"/>
      <c r="P27" s="207"/>
      <c r="Q27" s="207"/>
      <c r="R27" s="207"/>
    </row>
    <row r="28" spans="1:18" x14ac:dyDescent="0.3">
      <c r="A28" s="199">
        <v>17</v>
      </c>
      <c r="B28" s="199" t="s">
        <v>730</v>
      </c>
      <c r="C28" s="200" t="s">
        <v>595</v>
      </c>
      <c r="D28" s="201">
        <v>560</v>
      </c>
      <c r="E28" s="199" t="s">
        <v>587</v>
      </c>
      <c r="F28" s="200" t="s">
        <v>814</v>
      </c>
      <c r="G28" s="202">
        <v>14.3</v>
      </c>
      <c r="H28" s="200" t="s">
        <v>815</v>
      </c>
      <c r="I28" s="201">
        <v>1</v>
      </c>
      <c r="J28" s="203">
        <v>2.2000000000000002</v>
      </c>
      <c r="K28" s="204">
        <f>Table7[[#This Row],[سعر/م]]*Table7[[#This Row],[طول/وحدة
(م)]]</f>
        <v>2.2000000000000002</v>
      </c>
      <c r="L28" s="200" t="s">
        <v>816</v>
      </c>
      <c r="M28" s="201">
        <v>1</v>
      </c>
      <c r="N28" s="203">
        <v>2.2000000000000002</v>
      </c>
      <c r="O28" s="204">
        <f>Table7[[#This Row],[سعر/م.ط]]*Table7[[#This Row],[طول/وحدة
(م)2]]</f>
        <v>2.2000000000000002</v>
      </c>
      <c r="P28" s="203">
        <v>3.3</v>
      </c>
      <c r="Q28" s="205">
        <f>Table7[[#This Row],[تثبيت
وتوصيل]]+Table7[[#This Row],[إجمالي
سلك/وحدة]]+Table7[[#This Row],[إجمالي
ماسورة/وحدة]]+Table7[[#This Row],[سعر العلبة
/وحدة]]</f>
        <v>22</v>
      </c>
      <c r="R28" s="205">
        <f>Table7[[#This Row],[★الوحدة]]*Table7[[#This Row],[الكمية]]</f>
        <v>12320</v>
      </c>
    </row>
    <row r="29" spans="1:18" x14ac:dyDescent="0.3">
      <c r="A29" s="199">
        <v>18</v>
      </c>
      <c r="B29" s="199" t="s">
        <v>732</v>
      </c>
      <c r="C29" s="200" t="s">
        <v>135</v>
      </c>
      <c r="D29" s="201">
        <v>800</v>
      </c>
      <c r="E29" s="199" t="s">
        <v>587</v>
      </c>
      <c r="F29" s="200" t="s">
        <v>710</v>
      </c>
      <c r="G29" s="202">
        <v>14.025</v>
      </c>
      <c r="H29" s="200" t="s">
        <v>711</v>
      </c>
      <c r="I29" s="201">
        <v>1</v>
      </c>
      <c r="J29" s="203">
        <v>0.82499999999999996</v>
      </c>
      <c r="K29" s="204">
        <f>Table7[[#This Row],[سعر/م]]*Table7[[#This Row],[طول/وحدة
(م)]]</f>
        <v>0.82499999999999996</v>
      </c>
      <c r="L29" s="200" t="s">
        <v>1065</v>
      </c>
      <c r="M29" s="201">
        <v>1</v>
      </c>
      <c r="N29" s="203">
        <v>0.82499999999999996</v>
      </c>
      <c r="O29" s="204">
        <f>Table7[[#This Row],[سعر/م.ط]]*Table7[[#This Row],[طول/وحدة
(م)2]]</f>
        <v>0.82499999999999996</v>
      </c>
      <c r="P29" s="203">
        <v>0.82499999999999996</v>
      </c>
      <c r="Q29" s="205">
        <f>Table7[[#This Row],[تثبيت
وتوصيل]]+Table7[[#This Row],[إجمالي
سلك/وحدة]]+Table7[[#This Row],[إجمالي
ماسورة/وحدة]]+Table7[[#This Row],[سعر العلبة
/وحدة]]</f>
        <v>16.5</v>
      </c>
      <c r="R29" s="205">
        <f>Table7[[#This Row],[★الوحدة]]*Table7[[#This Row],[الكمية]]</f>
        <v>13200</v>
      </c>
    </row>
    <row r="30" spans="1:18" x14ac:dyDescent="0.3">
      <c r="A30" s="199">
        <v>19</v>
      </c>
      <c r="B30" s="199" t="s">
        <v>734</v>
      </c>
      <c r="C30" s="200" t="s">
        <v>596</v>
      </c>
      <c r="D30" s="201">
        <v>8</v>
      </c>
      <c r="E30" s="199" t="s">
        <v>582</v>
      </c>
      <c r="F30" s="200" t="s">
        <v>814</v>
      </c>
      <c r="G30" s="202">
        <v>1072.5</v>
      </c>
      <c r="H30" s="200" t="s">
        <v>815</v>
      </c>
      <c r="I30" s="201">
        <v>1</v>
      </c>
      <c r="J30" s="203">
        <v>165</v>
      </c>
      <c r="K30" s="204">
        <f>Table7[[#This Row],[سعر/م]]*Table7[[#This Row],[طول/وحدة
(م)]]</f>
        <v>165</v>
      </c>
      <c r="L30" s="200" t="s">
        <v>816</v>
      </c>
      <c r="M30" s="201">
        <v>1</v>
      </c>
      <c r="N30" s="203">
        <v>165</v>
      </c>
      <c r="O30" s="204">
        <f>Table7[[#This Row],[سعر/م.ط]]*Table7[[#This Row],[طول/وحدة
(م)2]]</f>
        <v>165</v>
      </c>
      <c r="P30" s="203">
        <v>247.5</v>
      </c>
      <c r="Q30" s="205">
        <f>Table7[[#This Row],[تثبيت
وتوصيل]]+Table7[[#This Row],[إجمالي
سلك/وحدة]]+Table7[[#This Row],[إجمالي
ماسورة/وحدة]]+Table7[[#This Row],[سعر العلبة
/وحدة]]</f>
        <v>1650</v>
      </c>
      <c r="R30" s="205">
        <f>Table7[[#This Row],[★الوحدة]]*Table7[[#This Row],[الكمية]]</f>
        <v>13200</v>
      </c>
    </row>
    <row r="31" spans="1:18" x14ac:dyDescent="0.3">
      <c r="A31" s="199">
        <v>20</v>
      </c>
      <c r="B31" s="199" t="s">
        <v>736</v>
      </c>
      <c r="C31" s="200" t="s">
        <v>597</v>
      </c>
      <c r="D31" s="201">
        <v>4</v>
      </c>
      <c r="E31" s="199" t="s">
        <v>582</v>
      </c>
      <c r="F31" s="200" t="s">
        <v>814</v>
      </c>
      <c r="G31" s="202">
        <v>1287</v>
      </c>
      <c r="H31" s="200" t="s">
        <v>815</v>
      </c>
      <c r="I31" s="201">
        <v>1</v>
      </c>
      <c r="J31" s="203">
        <v>198</v>
      </c>
      <c r="K31" s="204">
        <f>Table7[[#This Row],[سعر/م]]*Table7[[#This Row],[طول/وحدة
(م)]]</f>
        <v>198</v>
      </c>
      <c r="L31" s="200" t="s">
        <v>816</v>
      </c>
      <c r="M31" s="201">
        <v>1</v>
      </c>
      <c r="N31" s="203">
        <v>198</v>
      </c>
      <c r="O31" s="204">
        <f>Table7[[#This Row],[سعر/م.ط]]*Table7[[#This Row],[طول/وحدة
(م)2]]</f>
        <v>198</v>
      </c>
      <c r="P31" s="203">
        <v>297</v>
      </c>
      <c r="Q31" s="205">
        <f>Table7[[#This Row],[تثبيت
وتوصيل]]+Table7[[#This Row],[إجمالي
سلك/وحدة]]+Table7[[#This Row],[إجمالي
ماسورة/وحدة]]+Table7[[#This Row],[سعر العلبة
/وحدة]]</f>
        <v>1980</v>
      </c>
      <c r="R31" s="205">
        <f>Table7[[#This Row],[★الوحدة]]*Table7[[#This Row],[الكمية]]</f>
        <v>7920</v>
      </c>
    </row>
    <row r="32" spans="1:18" x14ac:dyDescent="0.3">
      <c r="A32" s="199">
        <v>21</v>
      </c>
      <c r="B32" s="199" t="s">
        <v>738</v>
      </c>
      <c r="C32" s="200" t="s">
        <v>598</v>
      </c>
      <c r="D32" s="201">
        <v>1</v>
      </c>
      <c r="E32" s="199" t="s">
        <v>582</v>
      </c>
      <c r="F32" s="200" t="s">
        <v>814</v>
      </c>
      <c r="G32" s="202">
        <v>5720</v>
      </c>
      <c r="H32" s="200" t="s">
        <v>815</v>
      </c>
      <c r="I32" s="201">
        <v>1</v>
      </c>
      <c r="J32" s="203">
        <v>880</v>
      </c>
      <c r="K32" s="204">
        <f>Table7[[#This Row],[سعر/م]]*Table7[[#This Row],[طول/وحدة
(م)]]</f>
        <v>880</v>
      </c>
      <c r="L32" s="200" t="s">
        <v>816</v>
      </c>
      <c r="M32" s="201">
        <v>1</v>
      </c>
      <c r="N32" s="203">
        <v>880</v>
      </c>
      <c r="O32" s="204">
        <f>Table7[[#This Row],[سعر/م.ط]]*Table7[[#This Row],[طول/وحدة
(م)2]]</f>
        <v>880</v>
      </c>
      <c r="P32" s="203">
        <v>1320</v>
      </c>
      <c r="Q32" s="205">
        <f>Table7[[#This Row],[تثبيت
وتوصيل]]+Table7[[#This Row],[إجمالي
سلك/وحدة]]+Table7[[#This Row],[إجمالي
ماسورة/وحدة]]+Table7[[#This Row],[سعر العلبة
/وحدة]]</f>
        <v>8800</v>
      </c>
      <c r="R32" s="205">
        <f>Table7[[#This Row],[★الوحدة]]*Table7[[#This Row],[الكمية]]</f>
        <v>8800</v>
      </c>
    </row>
    <row r="33" spans="1:18" x14ac:dyDescent="0.3">
      <c r="A33" s="199">
        <v>22</v>
      </c>
      <c r="B33" s="199" t="s">
        <v>740</v>
      </c>
      <c r="C33" s="200" t="s">
        <v>599</v>
      </c>
      <c r="D33" s="201">
        <v>1</v>
      </c>
      <c r="E33" s="199" t="s">
        <v>582</v>
      </c>
      <c r="F33" s="200" t="s">
        <v>814</v>
      </c>
      <c r="G33" s="202">
        <v>7150</v>
      </c>
      <c r="H33" s="200" t="s">
        <v>815</v>
      </c>
      <c r="I33" s="201">
        <v>1</v>
      </c>
      <c r="J33" s="203">
        <v>1100</v>
      </c>
      <c r="K33" s="204">
        <f>Table7[[#This Row],[سعر/م]]*Table7[[#This Row],[طول/وحدة
(م)]]</f>
        <v>1100</v>
      </c>
      <c r="L33" s="200" t="s">
        <v>816</v>
      </c>
      <c r="M33" s="201">
        <v>1</v>
      </c>
      <c r="N33" s="203">
        <v>1100</v>
      </c>
      <c r="O33" s="204">
        <f>Table7[[#This Row],[سعر/م.ط]]*Table7[[#This Row],[طول/وحدة
(م)2]]</f>
        <v>1100</v>
      </c>
      <c r="P33" s="203">
        <v>1650</v>
      </c>
      <c r="Q33" s="205">
        <f>Table7[[#This Row],[تثبيت
وتوصيل]]+Table7[[#This Row],[إجمالي
سلك/وحدة]]+Table7[[#This Row],[إجمالي
ماسورة/وحدة]]+Table7[[#This Row],[سعر العلبة
/وحدة]]</f>
        <v>11000</v>
      </c>
      <c r="R33" s="205">
        <f>Table7[[#This Row],[★الوحدة]]*Table7[[#This Row],[الكمية]]</f>
        <v>11000</v>
      </c>
    </row>
    <row r="34" spans="1:18" x14ac:dyDescent="0.3">
      <c r="A34" s="199">
        <v>23</v>
      </c>
      <c r="B34" s="199" t="s">
        <v>742</v>
      </c>
      <c r="C34" s="200" t="s">
        <v>600</v>
      </c>
      <c r="D34" s="201">
        <v>1</v>
      </c>
      <c r="E34" s="199" t="s">
        <v>582</v>
      </c>
      <c r="F34" s="200" t="s">
        <v>814</v>
      </c>
      <c r="G34" s="202">
        <v>1430</v>
      </c>
      <c r="H34" s="200" t="s">
        <v>815</v>
      </c>
      <c r="I34" s="201">
        <v>1</v>
      </c>
      <c r="J34" s="203">
        <v>220</v>
      </c>
      <c r="K34" s="204">
        <f>Table7[[#This Row],[سعر/م]]*Table7[[#This Row],[طول/وحدة
(م)]]</f>
        <v>220</v>
      </c>
      <c r="L34" s="200" t="s">
        <v>816</v>
      </c>
      <c r="M34" s="201">
        <v>1</v>
      </c>
      <c r="N34" s="203">
        <v>220</v>
      </c>
      <c r="O34" s="204">
        <f>Table7[[#This Row],[سعر/م.ط]]*Table7[[#This Row],[طول/وحدة
(م)2]]</f>
        <v>220</v>
      </c>
      <c r="P34" s="203">
        <v>330</v>
      </c>
      <c r="Q34" s="205">
        <f>Table7[[#This Row],[تثبيت
وتوصيل]]+Table7[[#This Row],[إجمالي
سلك/وحدة]]+Table7[[#This Row],[إجمالي
ماسورة/وحدة]]+Table7[[#This Row],[سعر العلبة
/وحدة]]</f>
        <v>2200</v>
      </c>
      <c r="R34" s="205">
        <f>Table7[[#This Row],[★الوحدة]]*Table7[[#This Row],[الكمية]]</f>
        <v>2200</v>
      </c>
    </row>
    <row r="35" spans="1:18" x14ac:dyDescent="0.3">
      <c r="A35" s="199">
        <v>24</v>
      </c>
      <c r="B35" s="199" t="s">
        <v>745</v>
      </c>
      <c r="C35" s="200" t="s">
        <v>601</v>
      </c>
      <c r="D35" s="201">
        <v>1</v>
      </c>
      <c r="E35" s="199" t="s">
        <v>45</v>
      </c>
      <c r="F35" s="200" t="s">
        <v>814</v>
      </c>
      <c r="G35" s="202">
        <v>3575</v>
      </c>
      <c r="H35" s="200" t="s">
        <v>815</v>
      </c>
      <c r="I35" s="201">
        <v>1</v>
      </c>
      <c r="J35" s="203">
        <v>550</v>
      </c>
      <c r="K35" s="204">
        <f>Table7[[#This Row],[سعر/م]]*Table7[[#This Row],[طول/وحدة
(م)]]</f>
        <v>550</v>
      </c>
      <c r="L35" s="200" t="s">
        <v>816</v>
      </c>
      <c r="M35" s="201">
        <v>1</v>
      </c>
      <c r="N35" s="203">
        <v>550</v>
      </c>
      <c r="O35" s="204">
        <f>Table7[[#This Row],[سعر/م.ط]]*Table7[[#This Row],[طول/وحدة
(م)2]]</f>
        <v>550</v>
      </c>
      <c r="P35" s="203">
        <v>825</v>
      </c>
      <c r="Q35" s="205">
        <f>Table7[[#This Row],[تثبيت
وتوصيل]]+Table7[[#This Row],[إجمالي
سلك/وحدة]]+Table7[[#This Row],[إجمالي
ماسورة/وحدة]]+Table7[[#This Row],[سعر العلبة
/وحدة]]</f>
        <v>5500</v>
      </c>
      <c r="R35" s="205">
        <f>Table7[[#This Row],[★الوحدة]]*Table7[[#This Row],[الكمية]]</f>
        <v>5500</v>
      </c>
    </row>
    <row r="36" spans="1:18" x14ac:dyDescent="0.3">
      <c r="A36" s="199">
        <v>25</v>
      </c>
      <c r="B36" s="199" t="s">
        <v>750</v>
      </c>
      <c r="C36" s="200" t="s">
        <v>602</v>
      </c>
      <c r="D36" s="201">
        <v>1</v>
      </c>
      <c r="E36" s="199" t="s">
        <v>45</v>
      </c>
      <c r="F36" s="200" t="s">
        <v>814</v>
      </c>
      <c r="G36" s="202">
        <v>2860</v>
      </c>
      <c r="H36" s="200" t="s">
        <v>815</v>
      </c>
      <c r="I36" s="201">
        <v>1</v>
      </c>
      <c r="J36" s="203">
        <v>440</v>
      </c>
      <c r="K36" s="204">
        <f>Table7[[#This Row],[سعر/م]]*Table7[[#This Row],[طول/وحدة
(م)]]</f>
        <v>440</v>
      </c>
      <c r="L36" s="200" t="s">
        <v>816</v>
      </c>
      <c r="M36" s="201">
        <v>1</v>
      </c>
      <c r="N36" s="203">
        <v>440</v>
      </c>
      <c r="O36" s="204">
        <f>Table7[[#This Row],[سعر/م.ط]]*Table7[[#This Row],[طول/وحدة
(م)2]]</f>
        <v>440</v>
      </c>
      <c r="P36" s="203">
        <v>660</v>
      </c>
      <c r="Q36" s="205">
        <f>Table7[[#This Row],[تثبيت
وتوصيل]]+Table7[[#This Row],[إجمالي
سلك/وحدة]]+Table7[[#This Row],[إجمالي
ماسورة/وحدة]]+Table7[[#This Row],[سعر العلبة
/وحدة]]</f>
        <v>4400</v>
      </c>
      <c r="R36" s="205">
        <f>Table7[[#This Row],[★الوحدة]]*Table7[[#This Row],[الكمية]]</f>
        <v>4400</v>
      </c>
    </row>
    <row r="38" spans="1:18" x14ac:dyDescent="0.3">
      <c r="A38" s="206" t="s">
        <v>820</v>
      </c>
      <c r="B38" s="207"/>
      <c r="C38" s="207"/>
      <c r="D38" s="207"/>
      <c r="E38" s="207"/>
      <c r="F38" s="207"/>
      <c r="G38" s="207"/>
      <c r="H38" s="207"/>
      <c r="I38" s="207"/>
      <c r="J38" s="207"/>
      <c r="K38" s="207"/>
      <c r="L38" s="207"/>
      <c r="M38" s="207"/>
      <c r="N38" s="207"/>
      <c r="O38" s="207"/>
      <c r="P38" s="207"/>
      <c r="Q38" s="207"/>
      <c r="R38" s="207"/>
    </row>
    <row r="39" spans="1:18" x14ac:dyDescent="0.3">
      <c r="A39" s="199">
        <v>33</v>
      </c>
      <c r="B39" s="199" t="s">
        <v>766</v>
      </c>
      <c r="C39" s="200" t="s">
        <v>608</v>
      </c>
      <c r="D39" s="201">
        <v>2300</v>
      </c>
      <c r="E39" s="199" t="s">
        <v>587</v>
      </c>
      <c r="F39" s="200" t="s">
        <v>814</v>
      </c>
      <c r="G39" s="202">
        <v>12.87</v>
      </c>
      <c r="H39" s="200" t="s">
        <v>815</v>
      </c>
      <c r="I39" s="201">
        <v>1</v>
      </c>
      <c r="J39" s="203">
        <v>1.98</v>
      </c>
      <c r="K39" s="204">
        <f>Table7[[#This Row],[سعر/م]]*Table7[[#This Row],[طول/وحدة
(م)]]</f>
        <v>1.98</v>
      </c>
      <c r="L39" s="200" t="s">
        <v>816</v>
      </c>
      <c r="M39" s="201">
        <v>1</v>
      </c>
      <c r="N39" s="203">
        <v>1.98</v>
      </c>
      <c r="O39" s="204">
        <f>Table7[[#This Row],[سعر/م.ط]]*Table7[[#This Row],[طول/وحدة
(م)2]]</f>
        <v>1.98</v>
      </c>
      <c r="P39" s="203">
        <v>2.97</v>
      </c>
      <c r="Q39" s="205">
        <f>Table7[[#This Row],[تثبيت
وتوصيل]]+Table7[[#This Row],[إجمالي
سلك/وحدة]]+Table7[[#This Row],[إجمالي
ماسورة/وحدة]]+Table7[[#This Row],[سعر العلبة
/وحدة]]</f>
        <v>19.799999999999997</v>
      </c>
      <c r="R39" s="205">
        <f>Table7[[#This Row],[★الوحدة]]*Table7[[#This Row],[الكمية]]</f>
        <v>45539.999999999993</v>
      </c>
    </row>
    <row r="40" spans="1:18" x14ac:dyDescent="0.3">
      <c r="A40" s="199">
        <v>34</v>
      </c>
      <c r="B40" s="199" t="s">
        <v>768</v>
      </c>
      <c r="C40" s="200" t="s">
        <v>609</v>
      </c>
      <c r="D40" s="201">
        <v>3900</v>
      </c>
      <c r="E40" s="199" t="s">
        <v>587</v>
      </c>
      <c r="F40" s="200" t="s">
        <v>710</v>
      </c>
      <c r="G40" s="202">
        <v>14.025</v>
      </c>
      <c r="H40" s="200" t="s">
        <v>711</v>
      </c>
      <c r="I40" s="201">
        <v>1</v>
      </c>
      <c r="J40" s="203">
        <v>0.82499999999999996</v>
      </c>
      <c r="K40" s="204">
        <f>Table7[[#This Row],[سعر/م]]*Table7[[#This Row],[طول/وحدة
(م)]]</f>
        <v>0.82499999999999996</v>
      </c>
      <c r="L40" s="200" t="s">
        <v>1065</v>
      </c>
      <c r="M40" s="201">
        <v>1</v>
      </c>
      <c r="N40" s="203">
        <v>0.82499999999999996</v>
      </c>
      <c r="O40" s="204">
        <f>Table7[[#This Row],[سعر/م.ط]]*Table7[[#This Row],[طول/وحدة
(م)2]]</f>
        <v>0.82499999999999996</v>
      </c>
      <c r="P40" s="203">
        <v>0.82499999999999996</v>
      </c>
      <c r="Q40" s="205">
        <f>Table7[[#This Row],[تثبيت
وتوصيل]]+Table7[[#This Row],[إجمالي
سلك/وحدة]]+Table7[[#This Row],[إجمالي
ماسورة/وحدة]]+Table7[[#This Row],[سعر العلبة
/وحدة]]</f>
        <v>16.5</v>
      </c>
      <c r="R40" s="205">
        <f>Table7[[#This Row],[★الوحدة]]*Table7[[#This Row],[الكمية]]</f>
        <v>64350</v>
      </c>
    </row>
    <row r="41" spans="1:18" x14ac:dyDescent="0.3">
      <c r="A41" s="199">
        <v>35</v>
      </c>
      <c r="B41" s="199" t="s">
        <v>770</v>
      </c>
      <c r="C41" s="200" t="s">
        <v>610</v>
      </c>
      <c r="D41" s="201">
        <v>6</v>
      </c>
      <c r="E41" s="199" t="s">
        <v>582</v>
      </c>
      <c r="F41" s="200" t="s">
        <v>814</v>
      </c>
      <c r="G41" s="202">
        <v>2359.5</v>
      </c>
      <c r="H41" s="200" t="s">
        <v>815</v>
      </c>
      <c r="I41" s="201">
        <v>1</v>
      </c>
      <c r="J41" s="203">
        <v>363</v>
      </c>
      <c r="K41" s="204">
        <f>Table7[[#This Row],[سعر/م]]*Table7[[#This Row],[طول/وحدة
(م)]]</f>
        <v>363</v>
      </c>
      <c r="L41" s="200" t="s">
        <v>816</v>
      </c>
      <c r="M41" s="201">
        <v>1</v>
      </c>
      <c r="N41" s="203">
        <v>363</v>
      </c>
      <c r="O41" s="204">
        <f>Table7[[#This Row],[سعر/م.ط]]*Table7[[#This Row],[طول/وحدة
(م)2]]</f>
        <v>363</v>
      </c>
      <c r="P41" s="203">
        <v>544.5</v>
      </c>
      <c r="Q41" s="205">
        <f>Table7[[#This Row],[تثبيت
وتوصيل]]+Table7[[#This Row],[إجمالي
سلك/وحدة]]+Table7[[#This Row],[إجمالي
ماسورة/وحدة]]+Table7[[#This Row],[سعر العلبة
/وحدة]]</f>
        <v>3630</v>
      </c>
      <c r="R41" s="205">
        <f>Table7[[#This Row],[★الوحدة]]*Table7[[#This Row],[الكمية]]</f>
        <v>21780</v>
      </c>
    </row>
    <row r="42" spans="1:18" x14ac:dyDescent="0.3">
      <c r="A42" s="199">
        <v>36</v>
      </c>
      <c r="B42" s="199" t="s">
        <v>772</v>
      </c>
      <c r="C42" s="200" t="s">
        <v>611</v>
      </c>
      <c r="D42" s="201">
        <v>6</v>
      </c>
      <c r="E42" s="199" t="s">
        <v>582</v>
      </c>
      <c r="F42" s="200" t="s">
        <v>814</v>
      </c>
      <c r="G42" s="202">
        <v>250.25</v>
      </c>
      <c r="H42" s="200" t="s">
        <v>815</v>
      </c>
      <c r="I42" s="201">
        <v>1</v>
      </c>
      <c r="J42" s="203">
        <v>38.5</v>
      </c>
      <c r="K42" s="204">
        <f>Table7[[#This Row],[سعر/م]]*Table7[[#This Row],[طول/وحدة
(م)]]</f>
        <v>38.5</v>
      </c>
      <c r="L42" s="200" t="s">
        <v>816</v>
      </c>
      <c r="M42" s="201">
        <v>1</v>
      </c>
      <c r="N42" s="203">
        <v>38.5</v>
      </c>
      <c r="O42" s="204">
        <f>Table7[[#This Row],[سعر/م.ط]]*Table7[[#This Row],[طول/وحدة
(م)2]]</f>
        <v>38.5</v>
      </c>
      <c r="P42" s="203">
        <v>57.75</v>
      </c>
      <c r="Q42" s="205">
        <f>Table7[[#This Row],[تثبيت
وتوصيل]]+Table7[[#This Row],[إجمالي
سلك/وحدة]]+Table7[[#This Row],[إجمالي
ماسورة/وحدة]]+Table7[[#This Row],[سعر العلبة
/وحدة]]</f>
        <v>385</v>
      </c>
      <c r="R42" s="205">
        <f>Table7[[#This Row],[★الوحدة]]*Table7[[#This Row],[الكمية]]</f>
        <v>2310</v>
      </c>
    </row>
    <row r="43" spans="1:18" x14ac:dyDescent="0.3">
      <c r="A43" s="199">
        <v>37</v>
      </c>
      <c r="B43" s="199" t="s">
        <v>774</v>
      </c>
      <c r="C43" s="200" t="s">
        <v>612</v>
      </c>
      <c r="D43" s="201">
        <v>2</v>
      </c>
      <c r="E43" s="199" t="s">
        <v>582</v>
      </c>
      <c r="F43" s="200" t="s">
        <v>814</v>
      </c>
      <c r="G43" s="202">
        <v>2359.5</v>
      </c>
      <c r="H43" s="200" t="s">
        <v>815</v>
      </c>
      <c r="I43" s="201">
        <v>1</v>
      </c>
      <c r="J43" s="203">
        <v>363</v>
      </c>
      <c r="K43" s="204">
        <f>Table7[[#This Row],[سعر/م]]*Table7[[#This Row],[طول/وحدة
(م)]]</f>
        <v>363</v>
      </c>
      <c r="L43" s="200" t="s">
        <v>816</v>
      </c>
      <c r="M43" s="201">
        <v>1</v>
      </c>
      <c r="N43" s="203">
        <v>363</v>
      </c>
      <c r="O43" s="204">
        <f>Table7[[#This Row],[سعر/م.ط]]*Table7[[#This Row],[طول/وحدة
(م)2]]</f>
        <v>363</v>
      </c>
      <c r="P43" s="203">
        <v>544.5</v>
      </c>
      <c r="Q43" s="205">
        <f>Table7[[#This Row],[تثبيت
وتوصيل]]+Table7[[#This Row],[إجمالي
سلك/وحدة]]+Table7[[#This Row],[إجمالي
ماسورة/وحدة]]+Table7[[#This Row],[سعر العلبة
/وحدة]]</f>
        <v>3630</v>
      </c>
      <c r="R43" s="205">
        <f>Table7[[#This Row],[★الوحدة]]*Table7[[#This Row],[الكمية]]</f>
        <v>7260</v>
      </c>
    </row>
    <row r="44" spans="1:18" x14ac:dyDescent="0.3">
      <c r="A44" s="199">
        <v>38</v>
      </c>
      <c r="B44" s="199" t="s">
        <v>776</v>
      </c>
      <c r="C44" s="200" t="s">
        <v>613</v>
      </c>
      <c r="D44" s="201">
        <v>2</v>
      </c>
      <c r="E44" s="199" t="s">
        <v>582</v>
      </c>
      <c r="F44" s="200" t="s">
        <v>814</v>
      </c>
      <c r="G44" s="202">
        <v>250.25</v>
      </c>
      <c r="H44" s="200" t="s">
        <v>815</v>
      </c>
      <c r="I44" s="201">
        <v>1</v>
      </c>
      <c r="J44" s="203">
        <v>38.5</v>
      </c>
      <c r="K44" s="204">
        <f>Table7[[#This Row],[سعر/م]]*Table7[[#This Row],[طول/وحدة
(م)]]</f>
        <v>38.5</v>
      </c>
      <c r="L44" s="200" t="s">
        <v>816</v>
      </c>
      <c r="M44" s="201">
        <v>1</v>
      </c>
      <c r="N44" s="203">
        <v>38.5</v>
      </c>
      <c r="O44" s="204">
        <f>Table7[[#This Row],[سعر/م.ط]]*Table7[[#This Row],[طول/وحدة
(م)2]]</f>
        <v>38.5</v>
      </c>
      <c r="P44" s="203">
        <v>57.75</v>
      </c>
      <c r="Q44" s="205">
        <f>Table7[[#This Row],[تثبيت
وتوصيل]]+Table7[[#This Row],[إجمالي
سلك/وحدة]]+Table7[[#This Row],[إجمالي
ماسورة/وحدة]]+Table7[[#This Row],[سعر العلبة
/وحدة]]</f>
        <v>385</v>
      </c>
      <c r="R44" s="205">
        <f>Table7[[#This Row],[★الوحدة]]*Table7[[#This Row],[الكمية]]</f>
        <v>770</v>
      </c>
    </row>
    <row r="45" spans="1:18" x14ac:dyDescent="0.3">
      <c r="A45" s="199">
        <v>39</v>
      </c>
      <c r="B45" s="199" t="s">
        <v>781</v>
      </c>
      <c r="C45" s="200" t="s">
        <v>614</v>
      </c>
      <c r="D45" s="201">
        <v>2</v>
      </c>
      <c r="E45" s="199" t="s">
        <v>582</v>
      </c>
      <c r="F45" s="200" t="s">
        <v>814</v>
      </c>
      <c r="G45" s="202">
        <v>2359.5</v>
      </c>
      <c r="H45" s="200" t="s">
        <v>815</v>
      </c>
      <c r="I45" s="201">
        <v>1</v>
      </c>
      <c r="J45" s="203">
        <v>363</v>
      </c>
      <c r="K45" s="204">
        <f>Table7[[#This Row],[سعر/م]]*Table7[[#This Row],[طول/وحدة
(م)]]</f>
        <v>363</v>
      </c>
      <c r="L45" s="200" t="s">
        <v>816</v>
      </c>
      <c r="M45" s="201">
        <v>1</v>
      </c>
      <c r="N45" s="203">
        <v>363</v>
      </c>
      <c r="O45" s="204">
        <f>Table7[[#This Row],[سعر/م.ط]]*Table7[[#This Row],[طول/وحدة
(م)2]]</f>
        <v>363</v>
      </c>
      <c r="P45" s="203">
        <v>544.5</v>
      </c>
      <c r="Q45" s="205">
        <f>Table7[[#This Row],[تثبيت
وتوصيل]]+Table7[[#This Row],[إجمالي
سلك/وحدة]]+Table7[[#This Row],[إجمالي
ماسورة/وحدة]]+Table7[[#This Row],[سعر العلبة
/وحدة]]</f>
        <v>3630</v>
      </c>
      <c r="R45" s="205">
        <f>Table7[[#This Row],[★الوحدة]]*Table7[[#This Row],[الكمية]]</f>
        <v>7260</v>
      </c>
    </row>
    <row r="46" spans="1:18" x14ac:dyDescent="0.3">
      <c r="A46" s="199">
        <v>40</v>
      </c>
      <c r="B46" s="199" t="s">
        <v>783</v>
      </c>
      <c r="C46" s="200" t="s">
        <v>615</v>
      </c>
      <c r="D46" s="201">
        <v>2</v>
      </c>
      <c r="E46" s="199" t="s">
        <v>582</v>
      </c>
      <c r="F46" s="200" t="s">
        <v>814</v>
      </c>
      <c r="G46" s="202">
        <v>250.25</v>
      </c>
      <c r="H46" s="200" t="s">
        <v>815</v>
      </c>
      <c r="I46" s="201">
        <v>1</v>
      </c>
      <c r="J46" s="203">
        <v>38.5</v>
      </c>
      <c r="K46" s="204">
        <f>Table7[[#This Row],[سعر/م]]*Table7[[#This Row],[طول/وحدة
(م)]]</f>
        <v>38.5</v>
      </c>
      <c r="L46" s="200" t="s">
        <v>816</v>
      </c>
      <c r="M46" s="201">
        <v>1</v>
      </c>
      <c r="N46" s="203">
        <v>38.5</v>
      </c>
      <c r="O46" s="204">
        <f>Table7[[#This Row],[سعر/م.ط]]*Table7[[#This Row],[طول/وحدة
(م)2]]</f>
        <v>38.5</v>
      </c>
      <c r="P46" s="203">
        <v>57.75</v>
      </c>
      <c r="Q46" s="205">
        <f>Table7[[#This Row],[تثبيت
وتوصيل]]+Table7[[#This Row],[إجمالي
سلك/وحدة]]+Table7[[#This Row],[إجمالي
ماسورة/وحدة]]+Table7[[#This Row],[سعر العلبة
/وحدة]]</f>
        <v>385</v>
      </c>
      <c r="R46" s="205">
        <f>Table7[[#This Row],[★الوحدة]]*Table7[[#This Row],[الكمية]]</f>
        <v>770</v>
      </c>
    </row>
    <row r="47" spans="1:18" x14ac:dyDescent="0.3">
      <c r="A47" s="199">
        <v>41</v>
      </c>
      <c r="B47" s="199" t="s">
        <v>785</v>
      </c>
      <c r="C47" s="200" t="s">
        <v>616</v>
      </c>
      <c r="D47" s="201">
        <v>7</v>
      </c>
      <c r="E47" s="199" t="s">
        <v>582</v>
      </c>
      <c r="F47" s="200" t="s">
        <v>814</v>
      </c>
      <c r="G47" s="202">
        <v>572</v>
      </c>
      <c r="H47" s="200" t="s">
        <v>815</v>
      </c>
      <c r="I47" s="201">
        <v>1</v>
      </c>
      <c r="J47" s="203">
        <v>88</v>
      </c>
      <c r="K47" s="204">
        <f>Table7[[#This Row],[سعر/م]]*Table7[[#This Row],[طول/وحدة
(م)]]</f>
        <v>88</v>
      </c>
      <c r="L47" s="200" t="s">
        <v>816</v>
      </c>
      <c r="M47" s="201">
        <v>1</v>
      </c>
      <c r="N47" s="203">
        <v>88</v>
      </c>
      <c r="O47" s="204">
        <f>Table7[[#This Row],[سعر/م.ط]]*Table7[[#This Row],[طول/وحدة
(م)2]]</f>
        <v>88</v>
      </c>
      <c r="P47" s="203">
        <v>132</v>
      </c>
      <c r="Q47" s="205">
        <f>Table7[[#This Row],[تثبيت
وتوصيل]]+Table7[[#This Row],[إجمالي
سلك/وحدة]]+Table7[[#This Row],[إجمالي
ماسورة/وحدة]]+Table7[[#This Row],[سعر العلبة
/وحدة]]</f>
        <v>880</v>
      </c>
      <c r="R47" s="205">
        <f>Table7[[#This Row],[★الوحدة]]*Table7[[#This Row],[الكمية]]</f>
        <v>6160</v>
      </c>
    </row>
    <row r="48" spans="1:18" x14ac:dyDescent="0.3">
      <c r="A48" s="199">
        <v>42</v>
      </c>
      <c r="B48" s="199" t="s">
        <v>788</v>
      </c>
      <c r="C48" s="200" t="s">
        <v>617</v>
      </c>
      <c r="D48" s="201">
        <v>31</v>
      </c>
      <c r="E48" s="199" t="s">
        <v>582</v>
      </c>
      <c r="F48" s="200" t="s">
        <v>814</v>
      </c>
      <c r="G48" s="202">
        <v>1430</v>
      </c>
      <c r="H48" s="200" t="s">
        <v>815</v>
      </c>
      <c r="I48" s="201">
        <v>1</v>
      </c>
      <c r="J48" s="203">
        <v>220</v>
      </c>
      <c r="K48" s="204">
        <f>Table7[[#This Row],[سعر/م]]*Table7[[#This Row],[طول/وحدة
(م)]]</f>
        <v>220</v>
      </c>
      <c r="L48" s="200" t="s">
        <v>816</v>
      </c>
      <c r="M48" s="201">
        <v>1</v>
      </c>
      <c r="N48" s="203">
        <v>220</v>
      </c>
      <c r="O48" s="204">
        <f>Table7[[#This Row],[سعر/م.ط]]*Table7[[#This Row],[طول/وحدة
(م)2]]</f>
        <v>220</v>
      </c>
      <c r="P48" s="203">
        <v>330</v>
      </c>
      <c r="Q48" s="205">
        <f>Table7[[#This Row],[تثبيت
وتوصيل]]+Table7[[#This Row],[إجمالي
سلك/وحدة]]+Table7[[#This Row],[إجمالي
ماسورة/وحدة]]+Table7[[#This Row],[سعر العلبة
/وحدة]]</f>
        <v>2200</v>
      </c>
      <c r="R48" s="205">
        <f>Table7[[#This Row],[★الوحدة]]*Table7[[#This Row],[الكمية]]</f>
        <v>68200</v>
      </c>
    </row>
    <row r="49" spans="1:18" x14ac:dyDescent="0.3">
      <c r="A49" s="199">
        <v>43</v>
      </c>
      <c r="B49" s="199" t="s">
        <v>793</v>
      </c>
      <c r="C49" s="200" t="s">
        <v>618</v>
      </c>
      <c r="D49" s="201">
        <v>1</v>
      </c>
      <c r="E49" s="199" t="s">
        <v>582</v>
      </c>
      <c r="F49" s="200" t="s">
        <v>814</v>
      </c>
      <c r="G49" s="202">
        <v>2359.5</v>
      </c>
      <c r="H49" s="200" t="s">
        <v>815</v>
      </c>
      <c r="I49" s="201">
        <v>1</v>
      </c>
      <c r="J49" s="203">
        <v>363</v>
      </c>
      <c r="K49" s="204">
        <f>Table7[[#This Row],[سعر/م]]*Table7[[#This Row],[طول/وحدة
(م)]]</f>
        <v>363</v>
      </c>
      <c r="L49" s="200" t="s">
        <v>816</v>
      </c>
      <c r="M49" s="201">
        <v>1</v>
      </c>
      <c r="N49" s="203">
        <v>363</v>
      </c>
      <c r="O49" s="204">
        <f>Table7[[#This Row],[سعر/م.ط]]*Table7[[#This Row],[طول/وحدة
(م)2]]</f>
        <v>363</v>
      </c>
      <c r="P49" s="203">
        <v>544.5</v>
      </c>
      <c r="Q49" s="205">
        <f>Table7[[#This Row],[تثبيت
وتوصيل]]+Table7[[#This Row],[إجمالي
سلك/وحدة]]+Table7[[#This Row],[إجمالي
ماسورة/وحدة]]+Table7[[#This Row],[سعر العلبة
/وحدة]]</f>
        <v>3630</v>
      </c>
      <c r="R49" s="205">
        <f>Table7[[#This Row],[★الوحدة]]*Table7[[#This Row],[الكمية]]</f>
        <v>3630</v>
      </c>
    </row>
    <row r="50" spans="1:18" x14ac:dyDescent="0.3">
      <c r="A50" s="199">
        <v>44</v>
      </c>
      <c r="B50" s="199" t="s">
        <v>795</v>
      </c>
      <c r="C50" s="200" t="s">
        <v>619</v>
      </c>
      <c r="D50" s="201">
        <v>1</v>
      </c>
      <c r="E50" s="199" t="s">
        <v>582</v>
      </c>
      <c r="F50" s="200" t="s">
        <v>814</v>
      </c>
      <c r="G50" s="202">
        <v>2359.5</v>
      </c>
      <c r="H50" s="200" t="s">
        <v>815</v>
      </c>
      <c r="I50" s="201">
        <v>1</v>
      </c>
      <c r="J50" s="203">
        <v>363</v>
      </c>
      <c r="K50" s="204">
        <f>Table7[[#This Row],[سعر/م]]*Table7[[#This Row],[طول/وحدة
(م)]]</f>
        <v>363</v>
      </c>
      <c r="L50" s="200" t="s">
        <v>816</v>
      </c>
      <c r="M50" s="201">
        <v>1</v>
      </c>
      <c r="N50" s="203">
        <v>363</v>
      </c>
      <c r="O50" s="204">
        <f>Table7[[#This Row],[سعر/م.ط]]*Table7[[#This Row],[طول/وحدة
(م)2]]</f>
        <v>363</v>
      </c>
      <c r="P50" s="203">
        <v>544.5</v>
      </c>
      <c r="Q50" s="205">
        <f>Table7[[#This Row],[تثبيت
وتوصيل]]+Table7[[#This Row],[إجمالي
سلك/وحدة]]+Table7[[#This Row],[إجمالي
ماسورة/وحدة]]+Table7[[#This Row],[سعر العلبة
/وحدة]]</f>
        <v>3630</v>
      </c>
      <c r="R50" s="205">
        <f>Table7[[#This Row],[★الوحدة]]*Table7[[#This Row],[الكمية]]</f>
        <v>3630</v>
      </c>
    </row>
    <row r="51" spans="1:18" x14ac:dyDescent="0.3">
      <c r="A51" s="199">
        <v>45</v>
      </c>
      <c r="B51" s="199" t="s">
        <v>797</v>
      </c>
      <c r="C51" s="200" t="s">
        <v>620</v>
      </c>
      <c r="D51" s="201">
        <v>1</v>
      </c>
      <c r="E51" s="199" t="s">
        <v>45</v>
      </c>
      <c r="F51" s="200" t="s">
        <v>814</v>
      </c>
      <c r="G51" s="202">
        <v>5720</v>
      </c>
      <c r="H51" s="200" t="s">
        <v>815</v>
      </c>
      <c r="I51" s="201">
        <v>1</v>
      </c>
      <c r="J51" s="203">
        <v>880</v>
      </c>
      <c r="K51" s="204">
        <f>Table7[[#This Row],[سعر/م]]*Table7[[#This Row],[طول/وحدة
(م)]]</f>
        <v>880</v>
      </c>
      <c r="L51" s="200" t="s">
        <v>816</v>
      </c>
      <c r="M51" s="201">
        <v>1</v>
      </c>
      <c r="N51" s="203">
        <v>880</v>
      </c>
      <c r="O51" s="204">
        <f>Table7[[#This Row],[سعر/م.ط]]*Table7[[#This Row],[طول/وحدة
(م)2]]</f>
        <v>880</v>
      </c>
      <c r="P51" s="203">
        <v>1320</v>
      </c>
      <c r="Q51" s="205">
        <f>Table7[[#This Row],[تثبيت
وتوصيل]]+Table7[[#This Row],[إجمالي
سلك/وحدة]]+Table7[[#This Row],[إجمالي
ماسورة/وحدة]]+Table7[[#This Row],[سعر العلبة
/وحدة]]</f>
        <v>8800</v>
      </c>
      <c r="R51" s="205">
        <f>Table7[[#This Row],[★الوحدة]]*Table7[[#This Row],[الكمية]]</f>
        <v>8800</v>
      </c>
    </row>
    <row r="52" spans="1:18" x14ac:dyDescent="0.3">
      <c r="A52" s="199">
        <v>46</v>
      </c>
      <c r="B52" s="199" t="s">
        <v>799</v>
      </c>
      <c r="C52" s="200" t="s">
        <v>621</v>
      </c>
      <c r="D52" s="201">
        <v>1</v>
      </c>
      <c r="E52" s="199" t="s">
        <v>10</v>
      </c>
      <c r="F52" s="200" t="s">
        <v>814</v>
      </c>
      <c r="G52" s="202">
        <v>7865</v>
      </c>
      <c r="H52" s="200" t="s">
        <v>815</v>
      </c>
      <c r="I52" s="201">
        <v>1</v>
      </c>
      <c r="J52" s="203">
        <v>1210</v>
      </c>
      <c r="K52" s="204">
        <f>Table7[[#This Row],[سعر/م]]*Table7[[#This Row],[طول/وحدة
(م)]]</f>
        <v>1210</v>
      </c>
      <c r="L52" s="200" t="s">
        <v>816</v>
      </c>
      <c r="M52" s="201">
        <v>1</v>
      </c>
      <c r="N52" s="203">
        <v>1210</v>
      </c>
      <c r="O52" s="204">
        <f>Table7[[#This Row],[سعر/م.ط]]*Table7[[#This Row],[طول/وحدة
(م)2]]</f>
        <v>1210</v>
      </c>
      <c r="P52" s="203">
        <v>1815</v>
      </c>
      <c r="Q52" s="205">
        <f>Table7[[#This Row],[تثبيت
وتوصيل]]+Table7[[#This Row],[إجمالي
سلك/وحدة]]+Table7[[#This Row],[إجمالي
ماسورة/وحدة]]+Table7[[#This Row],[سعر العلبة
/وحدة]]</f>
        <v>12100</v>
      </c>
      <c r="R52" s="205">
        <f>Table7[[#This Row],[★الوحدة]]*Table7[[#This Row],[الكمية]]</f>
        <v>12100</v>
      </c>
    </row>
    <row r="54" spans="1:18" x14ac:dyDescent="0.3">
      <c r="A54" s="206" t="s">
        <v>821</v>
      </c>
      <c r="B54" s="207"/>
      <c r="C54" s="207"/>
      <c r="D54" s="207"/>
      <c r="E54" s="207"/>
      <c r="F54" s="207"/>
      <c r="G54" s="207"/>
      <c r="H54" s="207"/>
      <c r="I54" s="207"/>
      <c r="J54" s="207"/>
      <c r="K54" s="207"/>
      <c r="L54" s="207"/>
      <c r="M54" s="207"/>
      <c r="N54" s="207"/>
      <c r="O54" s="207"/>
      <c r="P54" s="207"/>
      <c r="Q54" s="207"/>
      <c r="R54" s="207"/>
    </row>
    <row r="55" spans="1:18" x14ac:dyDescent="0.3">
      <c r="A55" s="199">
        <v>47</v>
      </c>
      <c r="B55" s="199" t="s">
        <v>800</v>
      </c>
      <c r="C55" s="200" t="s">
        <v>622</v>
      </c>
      <c r="D55" s="201">
        <v>100</v>
      </c>
      <c r="E55" s="199" t="s">
        <v>587</v>
      </c>
      <c r="F55" s="200" t="s">
        <v>814</v>
      </c>
      <c r="G55" s="202">
        <v>14.3</v>
      </c>
      <c r="H55" s="200" t="s">
        <v>815</v>
      </c>
      <c r="I55" s="201">
        <v>1</v>
      </c>
      <c r="J55" s="203">
        <v>2.2000000000000002</v>
      </c>
      <c r="K55" s="204">
        <f>Table7[[#This Row],[سعر/م]]*Table7[[#This Row],[طول/وحدة
(م)]]</f>
        <v>2.2000000000000002</v>
      </c>
      <c r="L55" s="200" t="s">
        <v>816</v>
      </c>
      <c r="M55" s="201">
        <v>1</v>
      </c>
      <c r="N55" s="203">
        <v>2.2000000000000002</v>
      </c>
      <c r="O55" s="204">
        <f>Table7[[#This Row],[سعر/م.ط]]*Table7[[#This Row],[طول/وحدة
(م)2]]</f>
        <v>2.2000000000000002</v>
      </c>
      <c r="P55" s="203">
        <v>3.3</v>
      </c>
      <c r="Q55" s="205">
        <f>Table7[[#This Row],[تثبيت
وتوصيل]]+Table7[[#This Row],[إجمالي
سلك/وحدة]]+Table7[[#This Row],[إجمالي
ماسورة/وحدة]]+Table7[[#This Row],[سعر العلبة
/وحدة]]</f>
        <v>22</v>
      </c>
      <c r="R55" s="205">
        <f>Table7[[#This Row],[★الوحدة]]*Table7[[#This Row],[الكمية]]</f>
        <v>2200</v>
      </c>
    </row>
    <row r="56" spans="1:18" x14ac:dyDescent="0.3">
      <c r="A56" s="199">
        <v>48</v>
      </c>
      <c r="B56" s="199" t="s">
        <v>801</v>
      </c>
      <c r="C56" s="200" t="s">
        <v>623</v>
      </c>
      <c r="D56" s="201">
        <v>100</v>
      </c>
      <c r="E56" s="199" t="s">
        <v>587</v>
      </c>
      <c r="F56" s="200" t="s">
        <v>710</v>
      </c>
      <c r="G56" s="202">
        <v>14.025</v>
      </c>
      <c r="H56" s="200" t="s">
        <v>711</v>
      </c>
      <c r="I56" s="201">
        <v>1</v>
      </c>
      <c r="J56" s="203">
        <v>0.82499999999999996</v>
      </c>
      <c r="K56" s="204">
        <f>Table7[[#This Row],[سعر/م]]*Table7[[#This Row],[طول/وحدة
(م)]]</f>
        <v>0.82499999999999996</v>
      </c>
      <c r="L56" s="200" t="s">
        <v>1065</v>
      </c>
      <c r="M56" s="201">
        <v>1</v>
      </c>
      <c r="N56" s="203">
        <v>0.82499999999999996</v>
      </c>
      <c r="O56" s="204">
        <f>Table7[[#This Row],[سعر/م.ط]]*Table7[[#This Row],[طول/وحدة
(م)2]]</f>
        <v>0.82499999999999996</v>
      </c>
      <c r="P56" s="203">
        <v>0.82499999999999996</v>
      </c>
      <c r="Q56" s="205">
        <f>Table7[[#This Row],[تثبيت
وتوصيل]]+Table7[[#This Row],[إجمالي
سلك/وحدة]]+Table7[[#This Row],[إجمالي
ماسورة/وحدة]]+Table7[[#This Row],[سعر العلبة
/وحدة]]</f>
        <v>16.5</v>
      </c>
      <c r="R56" s="205">
        <f>Table7[[#This Row],[★الوحدة]]*Table7[[#This Row],[الكمية]]</f>
        <v>1650</v>
      </c>
    </row>
    <row r="57" spans="1:18" x14ac:dyDescent="0.3">
      <c r="A57" s="199">
        <v>49</v>
      </c>
      <c r="B57" s="199" t="s">
        <v>802</v>
      </c>
      <c r="C57" s="200" t="s">
        <v>624</v>
      </c>
      <c r="D57" s="201">
        <v>1</v>
      </c>
      <c r="E57" s="199" t="s">
        <v>45</v>
      </c>
      <c r="F57" s="200" t="s">
        <v>814</v>
      </c>
      <c r="G57" s="202">
        <v>57200</v>
      </c>
      <c r="H57" s="200" t="s">
        <v>815</v>
      </c>
      <c r="I57" s="201">
        <v>1</v>
      </c>
      <c r="J57" s="203">
        <v>8800</v>
      </c>
      <c r="K57" s="204">
        <f>Table7[[#This Row],[سعر/م]]*Table7[[#This Row],[طول/وحدة
(م)]]</f>
        <v>8800</v>
      </c>
      <c r="L57" s="200" t="s">
        <v>816</v>
      </c>
      <c r="M57" s="201">
        <v>1</v>
      </c>
      <c r="N57" s="203">
        <v>8800</v>
      </c>
      <c r="O57" s="204">
        <f>Table7[[#This Row],[سعر/م.ط]]*Table7[[#This Row],[طول/وحدة
(م)2]]</f>
        <v>8800</v>
      </c>
      <c r="P57" s="203">
        <v>13200</v>
      </c>
      <c r="Q57" s="205">
        <f>Table7[[#This Row],[تثبيت
وتوصيل]]+Table7[[#This Row],[إجمالي
سلك/وحدة]]+Table7[[#This Row],[إجمالي
ماسورة/وحدة]]+Table7[[#This Row],[سعر العلبة
/وحدة]]</f>
        <v>88000</v>
      </c>
      <c r="R57" s="205">
        <f>Table7[[#This Row],[★الوحدة]]*Table7[[#This Row],[الكمية]]</f>
        <v>88000</v>
      </c>
    </row>
    <row r="59" spans="1:18" x14ac:dyDescent="0.3">
      <c r="A59" s="206" t="s">
        <v>822</v>
      </c>
      <c r="B59" s="207"/>
      <c r="C59" s="207"/>
      <c r="D59" s="207"/>
      <c r="E59" s="207"/>
      <c r="F59" s="207"/>
      <c r="G59" s="207"/>
      <c r="H59" s="207"/>
      <c r="I59" s="207"/>
      <c r="J59" s="207"/>
      <c r="K59" s="207"/>
      <c r="L59" s="207"/>
      <c r="M59" s="207"/>
      <c r="N59" s="207"/>
      <c r="O59" s="207"/>
      <c r="P59" s="207"/>
      <c r="Q59" s="207"/>
      <c r="R59" s="207"/>
    </row>
    <row r="60" spans="1:18" x14ac:dyDescent="0.3">
      <c r="A60" s="199">
        <v>50</v>
      </c>
      <c r="B60" s="199" t="s">
        <v>804</v>
      </c>
      <c r="C60" s="200" t="s">
        <v>626</v>
      </c>
      <c r="D60" s="201">
        <v>7000</v>
      </c>
      <c r="E60" s="199" t="s">
        <v>587</v>
      </c>
      <c r="F60" s="200" t="s">
        <v>814</v>
      </c>
      <c r="G60" s="202">
        <v>12.87</v>
      </c>
      <c r="H60" s="200" t="s">
        <v>815</v>
      </c>
      <c r="I60" s="201">
        <v>1</v>
      </c>
      <c r="J60" s="203">
        <v>1.98</v>
      </c>
      <c r="K60" s="204">
        <f>Table7[[#This Row],[سعر/م]]*Table7[[#This Row],[طول/وحدة
(م)]]</f>
        <v>1.98</v>
      </c>
      <c r="L60" s="200" t="s">
        <v>816</v>
      </c>
      <c r="M60" s="201">
        <v>1</v>
      </c>
      <c r="N60" s="203">
        <v>1.98</v>
      </c>
      <c r="O60" s="204">
        <f>Table7[[#This Row],[سعر/م.ط]]*Table7[[#This Row],[طول/وحدة
(م)2]]</f>
        <v>1.98</v>
      </c>
      <c r="P60" s="203">
        <v>2.97</v>
      </c>
      <c r="Q60" s="205">
        <f>Table7[[#This Row],[تثبيت
وتوصيل]]+Table7[[#This Row],[إجمالي
سلك/وحدة]]+Table7[[#This Row],[إجمالي
ماسورة/وحدة]]+Table7[[#This Row],[سعر العلبة
/وحدة]]</f>
        <v>19.799999999999997</v>
      </c>
      <c r="R60" s="205">
        <f>Table7[[#This Row],[★الوحدة]]*Table7[[#This Row],[الكمية]]</f>
        <v>138599.99999999997</v>
      </c>
    </row>
    <row r="61" spans="1:18" x14ac:dyDescent="0.3">
      <c r="A61" s="199">
        <v>51</v>
      </c>
      <c r="B61" s="199" t="s">
        <v>806</v>
      </c>
      <c r="C61" s="200" t="s">
        <v>627</v>
      </c>
      <c r="D61" s="201">
        <v>12000</v>
      </c>
      <c r="E61" s="199" t="s">
        <v>587</v>
      </c>
      <c r="F61" s="200" t="s">
        <v>710</v>
      </c>
      <c r="G61" s="202">
        <v>14.025</v>
      </c>
      <c r="H61" s="200" t="s">
        <v>711</v>
      </c>
      <c r="I61" s="201">
        <v>1</v>
      </c>
      <c r="J61" s="203">
        <v>0.82499999999999996</v>
      </c>
      <c r="K61" s="204">
        <f>Table7[[#This Row],[سعر/م]]*Table7[[#This Row],[طول/وحدة
(م)]]</f>
        <v>0.82499999999999996</v>
      </c>
      <c r="L61" s="200" t="s">
        <v>1065</v>
      </c>
      <c r="M61" s="201">
        <v>1</v>
      </c>
      <c r="N61" s="203">
        <v>0.82499999999999996</v>
      </c>
      <c r="O61" s="204">
        <f>Table7[[#This Row],[سعر/م.ط]]*Table7[[#This Row],[طول/وحدة
(م)2]]</f>
        <v>0.82499999999999996</v>
      </c>
      <c r="P61" s="203">
        <v>0.82499999999999996</v>
      </c>
      <c r="Q61" s="205">
        <f>Table7[[#This Row],[تثبيت
وتوصيل]]+Table7[[#This Row],[إجمالي
سلك/وحدة]]+Table7[[#This Row],[إجمالي
ماسورة/وحدة]]+Table7[[#This Row],[سعر العلبة
/وحدة]]</f>
        <v>16.5</v>
      </c>
      <c r="R61" s="205">
        <f>Table7[[#This Row],[★الوحدة]]*Table7[[#This Row],[الكمية]]</f>
        <v>198000</v>
      </c>
    </row>
    <row r="62" spans="1:18" x14ac:dyDescent="0.3">
      <c r="A62" s="199">
        <v>52</v>
      </c>
      <c r="B62" s="199" t="s">
        <v>808</v>
      </c>
      <c r="C62" s="200" t="s">
        <v>628</v>
      </c>
      <c r="D62" s="201">
        <v>70</v>
      </c>
      <c r="E62" s="199" t="s">
        <v>582</v>
      </c>
      <c r="F62" s="200" t="s">
        <v>710</v>
      </c>
      <c r="G62" s="202">
        <v>261.8</v>
      </c>
      <c r="H62" s="200" t="s">
        <v>711</v>
      </c>
      <c r="I62" s="201">
        <v>1</v>
      </c>
      <c r="J62" s="203">
        <v>15.4</v>
      </c>
      <c r="K62" s="204">
        <f>Table7[[#This Row],[سعر/م]]*Table7[[#This Row],[طول/وحدة
(م)]]</f>
        <v>15.4</v>
      </c>
      <c r="L62" s="200" t="s">
        <v>1065</v>
      </c>
      <c r="M62" s="201">
        <v>1</v>
      </c>
      <c r="N62" s="203">
        <v>15.4</v>
      </c>
      <c r="O62" s="204">
        <f>Table7[[#This Row],[سعر/م.ط]]*Table7[[#This Row],[طول/وحدة
(م)2]]</f>
        <v>15.4</v>
      </c>
      <c r="P62" s="203">
        <v>15.4</v>
      </c>
      <c r="Q62" s="205">
        <f>Table7[[#This Row],[تثبيت
وتوصيل]]+Table7[[#This Row],[إجمالي
سلك/وحدة]]+Table7[[#This Row],[إجمالي
ماسورة/وحدة]]+Table7[[#This Row],[سعر العلبة
/وحدة]]</f>
        <v>308</v>
      </c>
      <c r="R62" s="205">
        <f>Table7[[#This Row],[★الوحدة]]*Table7[[#This Row],[الكمية]]</f>
        <v>21560</v>
      </c>
    </row>
    <row r="63" spans="1:18" x14ac:dyDescent="0.3">
      <c r="A63" s="199">
        <v>53</v>
      </c>
      <c r="B63" s="199" t="s">
        <v>810</v>
      </c>
      <c r="C63" s="200" t="s">
        <v>629</v>
      </c>
      <c r="D63" s="201">
        <v>50</v>
      </c>
      <c r="E63" s="199" t="s">
        <v>582</v>
      </c>
      <c r="F63" s="200" t="s">
        <v>727</v>
      </c>
      <c r="G63" s="202">
        <v>68.75</v>
      </c>
      <c r="H63" s="200" t="s">
        <v>728</v>
      </c>
      <c r="I63" s="201">
        <v>3</v>
      </c>
      <c r="J63" s="203">
        <v>22.917000000000002</v>
      </c>
      <c r="K63" s="204">
        <f>Table7[[#This Row],[سعر/م]]*Table7[[#This Row],[طول/وحدة
(م)]]</f>
        <v>68.751000000000005</v>
      </c>
      <c r="L63" s="200" t="s">
        <v>729</v>
      </c>
      <c r="M63" s="201">
        <v>4</v>
      </c>
      <c r="N63" s="203">
        <v>13.75</v>
      </c>
      <c r="O63" s="204">
        <f>Table7[[#This Row],[سعر/م.ط]]*Table7[[#This Row],[طول/وحدة
(م)2]]</f>
        <v>55</v>
      </c>
      <c r="P63" s="203">
        <v>82.5</v>
      </c>
      <c r="Q63" s="205">
        <f>Table7[[#This Row],[تثبيت
وتوصيل]]+Table7[[#This Row],[إجمالي
سلك/وحدة]]+Table7[[#This Row],[إجمالي
ماسورة/وحدة]]+Table7[[#This Row],[سعر العلبة
/وحدة]]</f>
        <v>275.00099999999998</v>
      </c>
      <c r="R63" s="205">
        <f>Table7[[#This Row],[★الوحدة]]*Table7[[#This Row],[الكمية]]</f>
        <v>13750.05</v>
      </c>
    </row>
    <row r="64" spans="1:18" x14ac:dyDescent="0.3">
      <c r="A64" s="199">
        <v>54</v>
      </c>
      <c r="B64" s="199" t="s">
        <v>823</v>
      </c>
      <c r="C64" s="200" t="s">
        <v>630</v>
      </c>
      <c r="D64" s="201">
        <v>15</v>
      </c>
      <c r="E64" s="199" t="s">
        <v>582</v>
      </c>
      <c r="F64" s="200" t="s">
        <v>727</v>
      </c>
      <c r="G64" s="202">
        <v>687.5</v>
      </c>
      <c r="H64" s="200" t="s">
        <v>728</v>
      </c>
      <c r="I64" s="201">
        <v>3</v>
      </c>
      <c r="J64" s="203">
        <v>229.167</v>
      </c>
      <c r="K64" s="204">
        <f>Table7[[#This Row],[سعر/م]]*Table7[[#This Row],[طول/وحدة
(م)]]</f>
        <v>687.50099999999998</v>
      </c>
      <c r="L64" s="200" t="s">
        <v>729</v>
      </c>
      <c r="M64" s="201">
        <v>4</v>
      </c>
      <c r="N64" s="203">
        <v>137.5</v>
      </c>
      <c r="O64" s="204">
        <f>Table7[[#This Row],[سعر/م.ط]]*Table7[[#This Row],[طول/وحدة
(م)2]]</f>
        <v>550</v>
      </c>
      <c r="P64" s="203">
        <v>825</v>
      </c>
      <c r="Q64" s="205">
        <f>Table7[[#This Row],[تثبيت
وتوصيل]]+Table7[[#This Row],[إجمالي
سلك/وحدة]]+Table7[[#This Row],[إجمالي
ماسورة/وحدة]]+Table7[[#This Row],[سعر العلبة
/وحدة]]</f>
        <v>2750.0010000000002</v>
      </c>
      <c r="R64" s="205">
        <f>Table7[[#This Row],[★الوحدة]]*Table7[[#This Row],[الكمية]]</f>
        <v>41250.014999999999</v>
      </c>
    </row>
    <row r="65" spans="1:18" x14ac:dyDescent="0.3">
      <c r="A65" s="199">
        <v>55</v>
      </c>
      <c r="B65" s="199" t="s">
        <v>824</v>
      </c>
      <c r="C65" s="200" t="s">
        <v>631</v>
      </c>
      <c r="D65" s="201">
        <v>1</v>
      </c>
      <c r="E65" s="199" t="s">
        <v>582</v>
      </c>
      <c r="F65" s="200" t="s">
        <v>814</v>
      </c>
      <c r="G65" s="202">
        <v>14300</v>
      </c>
      <c r="H65" s="200" t="s">
        <v>815</v>
      </c>
      <c r="I65" s="201">
        <v>1</v>
      </c>
      <c r="J65" s="203">
        <v>2200</v>
      </c>
      <c r="K65" s="204">
        <f>Table7[[#This Row],[سعر/م]]*Table7[[#This Row],[طول/وحدة
(م)]]</f>
        <v>2200</v>
      </c>
      <c r="L65" s="200" t="s">
        <v>816</v>
      </c>
      <c r="M65" s="201">
        <v>1</v>
      </c>
      <c r="N65" s="203">
        <v>2200</v>
      </c>
      <c r="O65" s="204">
        <f>Table7[[#This Row],[سعر/م.ط]]*Table7[[#This Row],[طول/وحدة
(م)2]]</f>
        <v>2200</v>
      </c>
      <c r="P65" s="203">
        <v>3300</v>
      </c>
      <c r="Q65" s="205">
        <f>Table7[[#This Row],[تثبيت
وتوصيل]]+Table7[[#This Row],[إجمالي
سلك/وحدة]]+Table7[[#This Row],[إجمالي
ماسورة/وحدة]]+Table7[[#This Row],[سعر العلبة
/وحدة]]</f>
        <v>22000</v>
      </c>
      <c r="R65" s="205">
        <f>Table7[[#This Row],[★الوحدة]]*Table7[[#This Row],[الكمية]]</f>
        <v>22000</v>
      </c>
    </row>
    <row r="66" spans="1:18" x14ac:dyDescent="0.3">
      <c r="A66" s="199">
        <v>56</v>
      </c>
      <c r="B66" s="199" t="s">
        <v>825</v>
      </c>
      <c r="C66" s="200" t="s">
        <v>632</v>
      </c>
      <c r="D66" s="201">
        <v>60</v>
      </c>
      <c r="E66" s="199" t="s">
        <v>582</v>
      </c>
      <c r="F66" s="200" t="s">
        <v>814</v>
      </c>
      <c r="G66" s="202">
        <v>858</v>
      </c>
      <c r="H66" s="200" t="s">
        <v>815</v>
      </c>
      <c r="I66" s="201">
        <v>1</v>
      </c>
      <c r="J66" s="203">
        <v>132</v>
      </c>
      <c r="K66" s="204">
        <f>Table7[[#This Row],[سعر/م]]*Table7[[#This Row],[طول/وحدة
(م)]]</f>
        <v>132</v>
      </c>
      <c r="L66" s="200" t="s">
        <v>816</v>
      </c>
      <c r="M66" s="201">
        <v>1</v>
      </c>
      <c r="N66" s="203">
        <v>132</v>
      </c>
      <c r="O66" s="204">
        <f>Table7[[#This Row],[سعر/م.ط]]*Table7[[#This Row],[طول/وحدة
(م)2]]</f>
        <v>132</v>
      </c>
      <c r="P66" s="203">
        <v>198</v>
      </c>
      <c r="Q66" s="205">
        <f>Table7[[#This Row],[تثبيت
وتوصيل]]+Table7[[#This Row],[إجمالي
سلك/وحدة]]+Table7[[#This Row],[إجمالي
ماسورة/وحدة]]+Table7[[#This Row],[سعر العلبة
/وحدة]]</f>
        <v>1320</v>
      </c>
      <c r="R66" s="205">
        <f>Table7[[#This Row],[★الوحدة]]*Table7[[#This Row],[الكمية]]</f>
        <v>79200</v>
      </c>
    </row>
    <row r="67" spans="1:18" x14ac:dyDescent="0.3">
      <c r="A67" s="199">
        <v>57</v>
      </c>
      <c r="B67" s="199" t="s">
        <v>826</v>
      </c>
      <c r="C67" s="200" t="s">
        <v>633</v>
      </c>
      <c r="D67" s="201">
        <v>5</v>
      </c>
      <c r="E67" s="199" t="s">
        <v>582</v>
      </c>
      <c r="F67" s="200" t="s">
        <v>814</v>
      </c>
      <c r="G67" s="202">
        <v>8580</v>
      </c>
      <c r="H67" s="200" t="s">
        <v>815</v>
      </c>
      <c r="I67" s="201">
        <v>1</v>
      </c>
      <c r="J67" s="203">
        <v>1320</v>
      </c>
      <c r="K67" s="204">
        <f>Table7[[#This Row],[سعر/م]]*Table7[[#This Row],[طول/وحدة
(م)]]</f>
        <v>1320</v>
      </c>
      <c r="L67" s="200" t="s">
        <v>816</v>
      </c>
      <c r="M67" s="201">
        <v>1</v>
      </c>
      <c r="N67" s="203">
        <v>1320</v>
      </c>
      <c r="O67" s="204">
        <f>Table7[[#This Row],[سعر/م.ط]]*Table7[[#This Row],[طول/وحدة
(م)2]]</f>
        <v>1320</v>
      </c>
      <c r="P67" s="203">
        <v>1980</v>
      </c>
      <c r="Q67" s="205">
        <f>Table7[[#This Row],[تثبيت
وتوصيل]]+Table7[[#This Row],[إجمالي
سلك/وحدة]]+Table7[[#This Row],[إجمالي
ماسورة/وحدة]]+Table7[[#This Row],[سعر العلبة
/وحدة]]</f>
        <v>13200</v>
      </c>
      <c r="R67" s="205">
        <f>Table7[[#This Row],[★الوحدة]]*Table7[[#This Row],[الكمية]]</f>
        <v>66000</v>
      </c>
    </row>
    <row r="68" spans="1:18" x14ac:dyDescent="0.3">
      <c r="A68" s="199">
        <v>58</v>
      </c>
      <c r="B68" s="199" t="s">
        <v>827</v>
      </c>
      <c r="C68" s="200" t="s">
        <v>634</v>
      </c>
      <c r="D68" s="201">
        <v>2</v>
      </c>
      <c r="E68" s="199" t="s">
        <v>582</v>
      </c>
      <c r="F68" s="200" t="s">
        <v>710</v>
      </c>
      <c r="G68" s="202">
        <v>2618</v>
      </c>
      <c r="H68" s="200" t="s">
        <v>711</v>
      </c>
      <c r="I68" s="201">
        <v>1</v>
      </c>
      <c r="J68" s="203">
        <v>154</v>
      </c>
      <c r="K68" s="204">
        <f>Table7[[#This Row],[سعر/م]]*Table7[[#This Row],[طول/وحدة
(م)]]</f>
        <v>154</v>
      </c>
      <c r="L68" s="200" t="s">
        <v>1065</v>
      </c>
      <c r="M68" s="201">
        <v>1</v>
      </c>
      <c r="N68" s="203">
        <v>154</v>
      </c>
      <c r="O68" s="204">
        <f>Table7[[#This Row],[سعر/م.ط]]*Table7[[#This Row],[طول/وحدة
(م)2]]</f>
        <v>154</v>
      </c>
      <c r="P68" s="203">
        <v>154</v>
      </c>
      <c r="Q68" s="205">
        <f>Table7[[#This Row],[تثبيت
وتوصيل]]+Table7[[#This Row],[إجمالي
سلك/وحدة]]+Table7[[#This Row],[إجمالي
ماسورة/وحدة]]+Table7[[#This Row],[سعر العلبة
/وحدة]]</f>
        <v>3080</v>
      </c>
      <c r="R68" s="205">
        <f>Table7[[#This Row],[★الوحدة]]*Table7[[#This Row],[الكمية]]</f>
        <v>6160</v>
      </c>
    </row>
    <row r="69" spans="1:18" x14ac:dyDescent="0.3">
      <c r="A69" s="199">
        <v>59</v>
      </c>
      <c r="B69" s="199" t="s">
        <v>828</v>
      </c>
      <c r="C69" s="200" t="s">
        <v>635</v>
      </c>
      <c r="D69" s="201">
        <v>6</v>
      </c>
      <c r="E69" s="199" t="s">
        <v>582</v>
      </c>
      <c r="F69" s="200" t="s">
        <v>710</v>
      </c>
      <c r="G69" s="202">
        <v>2618</v>
      </c>
      <c r="H69" s="200" t="s">
        <v>711</v>
      </c>
      <c r="I69" s="201">
        <v>1</v>
      </c>
      <c r="J69" s="203">
        <v>154</v>
      </c>
      <c r="K69" s="204">
        <f>Table7[[#This Row],[سعر/م]]*Table7[[#This Row],[طول/وحدة
(م)]]</f>
        <v>154</v>
      </c>
      <c r="L69" s="200" t="s">
        <v>1065</v>
      </c>
      <c r="M69" s="201">
        <v>1</v>
      </c>
      <c r="N69" s="203">
        <v>154</v>
      </c>
      <c r="O69" s="204">
        <f>Table7[[#This Row],[سعر/م.ط]]*Table7[[#This Row],[طول/وحدة
(م)2]]</f>
        <v>154</v>
      </c>
      <c r="P69" s="203">
        <v>154</v>
      </c>
      <c r="Q69" s="205">
        <f>Table7[[#This Row],[تثبيت
وتوصيل]]+Table7[[#This Row],[إجمالي
سلك/وحدة]]+Table7[[#This Row],[إجمالي
ماسورة/وحدة]]+Table7[[#This Row],[سعر العلبة
/وحدة]]</f>
        <v>3080</v>
      </c>
      <c r="R69" s="205">
        <f>Table7[[#This Row],[★الوحدة]]*Table7[[#This Row],[الكمية]]</f>
        <v>18480</v>
      </c>
    </row>
    <row r="70" spans="1:18" x14ac:dyDescent="0.3">
      <c r="A70" s="199">
        <v>60</v>
      </c>
      <c r="B70" s="199" t="s">
        <v>829</v>
      </c>
      <c r="C70" s="200" t="s">
        <v>636</v>
      </c>
      <c r="D70" s="201">
        <v>300</v>
      </c>
      <c r="E70" s="199" t="s">
        <v>587</v>
      </c>
      <c r="F70" s="200" t="s">
        <v>710</v>
      </c>
      <c r="G70" s="202">
        <v>65.45</v>
      </c>
      <c r="H70" s="200" t="s">
        <v>711</v>
      </c>
      <c r="I70" s="201">
        <v>1</v>
      </c>
      <c r="J70" s="203">
        <v>3.85</v>
      </c>
      <c r="K70" s="204">
        <f>Table7[[#This Row],[سعر/م]]*Table7[[#This Row],[طول/وحدة
(م)]]</f>
        <v>3.85</v>
      </c>
      <c r="L70" s="200" t="s">
        <v>1065</v>
      </c>
      <c r="M70" s="201">
        <v>1</v>
      </c>
      <c r="N70" s="203">
        <v>3.85</v>
      </c>
      <c r="O70" s="204">
        <f>Table7[[#This Row],[سعر/م.ط]]*Table7[[#This Row],[طول/وحدة
(م)2]]</f>
        <v>3.85</v>
      </c>
      <c r="P70" s="203">
        <v>3.85</v>
      </c>
      <c r="Q70" s="205">
        <f>Table7[[#This Row],[تثبيت
وتوصيل]]+Table7[[#This Row],[إجمالي
سلك/وحدة]]+Table7[[#This Row],[إجمالي
ماسورة/وحدة]]+Table7[[#This Row],[سعر العلبة
/وحدة]]</f>
        <v>77</v>
      </c>
      <c r="R70" s="205">
        <f>Table7[[#This Row],[★الوحدة]]*Table7[[#This Row],[الكمية]]</f>
        <v>23100</v>
      </c>
    </row>
    <row r="71" spans="1:18" x14ac:dyDescent="0.3">
      <c r="A71" s="199">
        <v>61</v>
      </c>
      <c r="B71" s="199" t="s">
        <v>830</v>
      </c>
      <c r="C71" s="200" t="s">
        <v>637</v>
      </c>
      <c r="D71" s="201">
        <v>1</v>
      </c>
      <c r="E71" s="199" t="s">
        <v>45</v>
      </c>
      <c r="F71" s="200" t="s">
        <v>710</v>
      </c>
      <c r="G71" s="202">
        <v>3740</v>
      </c>
      <c r="H71" s="200" t="s">
        <v>711</v>
      </c>
      <c r="I71" s="201">
        <v>1</v>
      </c>
      <c r="J71" s="203">
        <v>220</v>
      </c>
      <c r="K71" s="204">
        <f>Table7[[#This Row],[سعر/م]]*Table7[[#This Row],[طول/وحدة
(م)]]</f>
        <v>220</v>
      </c>
      <c r="L71" s="200" t="s">
        <v>1065</v>
      </c>
      <c r="M71" s="201">
        <v>1</v>
      </c>
      <c r="N71" s="203">
        <v>220</v>
      </c>
      <c r="O71" s="204">
        <f>Table7[[#This Row],[سعر/م.ط]]*Table7[[#This Row],[طول/وحدة
(م)2]]</f>
        <v>220</v>
      </c>
      <c r="P71" s="203">
        <v>220</v>
      </c>
      <c r="Q71" s="205">
        <f>Table7[[#This Row],[تثبيت
وتوصيل]]+Table7[[#This Row],[إجمالي
سلك/وحدة]]+Table7[[#This Row],[إجمالي
ماسورة/وحدة]]+Table7[[#This Row],[سعر العلبة
/وحدة]]</f>
        <v>4400</v>
      </c>
      <c r="R71" s="205">
        <f>Table7[[#This Row],[★الوحدة]]*Table7[[#This Row],[الكمية]]</f>
        <v>4400</v>
      </c>
    </row>
    <row r="72" spans="1:18" x14ac:dyDescent="0.3">
      <c r="A72" s="199">
        <v>62</v>
      </c>
      <c r="B72" s="199" t="s">
        <v>831</v>
      </c>
      <c r="C72" s="200" t="s">
        <v>638</v>
      </c>
      <c r="D72" s="201">
        <v>1</v>
      </c>
      <c r="E72" s="199" t="s">
        <v>45</v>
      </c>
      <c r="F72" s="200" t="s">
        <v>710</v>
      </c>
      <c r="G72" s="202">
        <v>2805</v>
      </c>
      <c r="H72" s="200" t="s">
        <v>711</v>
      </c>
      <c r="I72" s="201">
        <v>1</v>
      </c>
      <c r="J72" s="203">
        <v>165</v>
      </c>
      <c r="K72" s="204">
        <f>Table7[[#This Row],[سعر/م]]*Table7[[#This Row],[طول/وحدة
(م)]]</f>
        <v>165</v>
      </c>
      <c r="L72" s="200" t="s">
        <v>1065</v>
      </c>
      <c r="M72" s="201">
        <v>1</v>
      </c>
      <c r="N72" s="203">
        <v>165</v>
      </c>
      <c r="O72" s="204">
        <f>Table7[[#This Row],[سعر/م.ط]]*Table7[[#This Row],[طول/وحدة
(م)2]]</f>
        <v>165</v>
      </c>
      <c r="P72" s="203">
        <v>165</v>
      </c>
      <c r="Q72" s="205">
        <f>Table7[[#This Row],[تثبيت
وتوصيل]]+Table7[[#This Row],[إجمالي
سلك/وحدة]]+Table7[[#This Row],[إجمالي
ماسورة/وحدة]]+Table7[[#This Row],[سعر العلبة
/وحدة]]</f>
        <v>3300</v>
      </c>
      <c r="R72" s="205">
        <f>Table7[[#This Row],[★الوحدة]]*Table7[[#This Row],[الكمية]]</f>
        <v>3300</v>
      </c>
    </row>
    <row r="73" spans="1:18" x14ac:dyDescent="0.3">
      <c r="A73" s="199">
        <v>63</v>
      </c>
      <c r="B73" s="199" t="s">
        <v>832</v>
      </c>
      <c r="C73" s="200" t="s">
        <v>639</v>
      </c>
      <c r="D73" s="201">
        <v>1</v>
      </c>
      <c r="E73" s="199" t="s">
        <v>45</v>
      </c>
      <c r="F73" s="200" t="s">
        <v>814</v>
      </c>
      <c r="G73" s="202">
        <v>14300</v>
      </c>
      <c r="H73" s="200" t="s">
        <v>815</v>
      </c>
      <c r="I73" s="201">
        <v>1</v>
      </c>
      <c r="J73" s="203">
        <v>2200</v>
      </c>
      <c r="K73" s="204">
        <f>Table7[[#This Row],[سعر/م]]*Table7[[#This Row],[طول/وحدة
(م)]]</f>
        <v>2200</v>
      </c>
      <c r="L73" s="200" t="s">
        <v>816</v>
      </c>
      <c r="M73" s="201">
        <v>1</v>
      </c>
      <c r="N73" s="203">
        <v>2200</v>
      </c>
      <c r="O73" s="204">
        <f>Table7[[#This Row],[سعر/م.ط]]*Table7[[#This Row],[طول/وحدة
(م)2]]</f>
        <v>2200</v>
      </c>
      <c r="P73" s="203">
        <v>3300</v>
      </c>
      <c r="Q73" s="205">
        <f>Table7[[#This Row],[تثبيت
وتوصيل]]+Table7[[#This Row],[إجمالي
سلك/وحدة]]+Table7[[#This Row],[إجمالي
ماسورة/وحدة]]+Table7[[#This Row],[سعر العلبة
/وحدة]]</f>
        <v>22000</v>
      </c>
      <c r="R73" s="205">
        <f>Table7[[#This Row],[★الوحدة]]*Table7[[#This Row],[الكمية]]</f>
        <v>22000</v>
      </c>
    </row>
    <row r="75" spans="1:18" x14ac:dyDescent="0.3">
      <c r="A75" s="206" t="s">
        <v>833</v>
      </c>
      <c r="B75" s="207"/>
      <c r="C75" s="207"/>
      <c r="D75" s="207"/>
      <c r="E75" s="207"/>
      <c r="F75" s="207"/>
      <c r="G75" s="207"/>
      <c r="H75" s="207"/>
      <c r="I75" s="207"/>
      <c r="J75" s="207"/>
      <c r="K75" s="207"/>
      <c r="L75" s="207"/>
      <c r="M75" s="207"/>
      <c r="N75" s="207"/>
      <c r="O75" s="207"/>
      <c r="P75" s="207"/>
      <c r="Q75" s="207"/>
      <c r="R75" s="207"/>
    </row>
    <row r="76" spans="1:18" x14ac:dyDescent="0.3">
      <c r="A76" s="199">
        <v>64</v>
      </c>
      <c r="B76" s="199" t="s">
        <v>834</v>
      </c>
      <c r="C76" s="200" t="s">
        <v>640</v>
      </c>
      <c r="D76" s="201">
        <v>450</v>
      </c>
      <c r="E76" s="199" t="s">
        <v>587</v>
      </c>
      <c r="F76" s="200" t="s">
        <v>814</v>
      </c>
      <c r="G76" s="202">
        <v>12.87</v>
      </c>
      <c r="H76" s="200" t="s">
        <v>815</v>
      </c>
      <c r="I76" s="201">
        <v>1</v>
      </c>
      <c r="J76" s="203">
        <v>1.98</v>
      </c>
      <c r="K76" s="204">
        <f>Table7[[#This Row],[سعر/م]]*Table7[[#This Row],[طول/وحدة
(م)]]</f>
        <v>1.98</v>
      </c>
      <c r="L76" s="200" t="s">
        <v>816</v>
      </c>
      <c r="M76" s="201">
        <v>1</v>
      </c>
      <c r="N76" s="203">
        <v>1.98</v>
      </c>
      <c r="O76" s="204">
        <f>Table7[[#This Row],[سعر/م.ط]]*Table7[[#This Row],[طول/وحدة
(م)2]]</f>
        <v>1.98</v>
      </c>
      <c r="P76" s="203">
        <v>2.97</v>
      </c>
      <c r="Q76" s="205">
        <f>Table7[[#This Row],[تثبيت
وتوصيل]]+Table7[[#This Row],[إجمالي
سلك/وحدة]]+Table7[[#This Row],[إجمالي
ماسورة/وحدة]]+Table7[[#This Row],[سعر العلبة
/وحدة]]</f>
        <v>19.799999999999997</v>
      </c>
      <c r="R76" s="205">
        <f>Table7[[#This Row],[★الوحدة]]*Table7[[#This Row],[الكمية]]</f>
        <v>8909.9999999999982</v>
      </c>
    </row>
    <row r="77" spans="1:18" x14ac:dyDescent="0.3">
      <c r="A77" s="199">
        <v>65</v>
      </c>
      <c r="B77" s="199" t="s">
        <v>835</v>
      </c>
      <c r="C77" s="200" t="s">
        <v>641</v>
      </c>
      <c r="D77" s="201">
        <v>750</v>
      </c>
      <c r="E77" s="199" t="s">
        <v>587</v>
      </c>
      <c r="F77" s="200" t="s">
        <v>710</v>
      </c>
      <c r="G77" s="202">
        <v>14.025</v>
      </c>
      <c r="H77" s="200" t="s">
        <v>711</v>
      </c>
      <c r="I77" s="201">
        <v>1</v>
      </c>
      <c r="J77" s="203">
        <v>0.82499999999999996</v>
      </c>
      <c r="K77" s="204">
        <f>Table7[[#This Row],[سعر/م]]*Table7[[#This Row],[طول/وحدة
(م)]]</f>
        <v>0.82499999999999996</v>
      </c>
      <c r="L77" s="200" t="s">
        <v>1065</v>
      </c>
      <c r="M77" s="201">
        <v>1</v>
      </c>
      <c r="N77" s="203">
        <v>0.82499999999999996</v>
      </c>
      <c r="O77" s="204">
        <f>Table7[[#This Row],[سعر/م.ط]]*Table7[[#This Row],[طول/وحدة
(م)2]]</f>
        <v>0.82499999999999996</v>
      </c>
      <c r="P77" s="203">
        <v>0.82499999999999996</v>
      </c>
      <c r="Q77" s="205">
        <f>Table7[[#This Row],[تثبيت
وتوصيل]]+Table7[[#This Row],[إجمالي
سلك/وحدة]]+Table7[[#This Row],[إجمالي
ماسورة/وحدة]]+Table7[[#This Row],[سعر العلبة
/وحدة]]</f>
        <v>16.5</v>
      </c>
      <c r="R77" s="205">
        <f>Table7[[#This Row],[★الوحدة]]*Table7[[#This Row],[الكمية]]</f>
        <v>12375</v>
      </c>
    </row>
    <row r="78" spans="1:18" x14ac:dyDescent="0.3">
      <c r="A78" s="199">
        <v>66</v>
      </c>
      <c r="B78" s="199" t="s">
        <v>836</v>
      </c>
      <c r="C78" s="200" t="s">
        <v>642</v>
      </c>
      <c r="D78" s="201">
        <v>2</v>
      </c>
      <c r="E78" s="199" t="s">
        <v>582</v>
      </c>
      <c r="F78" s="200" t="s">
        <v>814</v>
      </c>
      <c r="G78" s="202">
        <v>2502.5</v>
      </c>
      <c r="H78" s="200" t="s">
        <v>815</v>
      </c>
      <c r="I78" s="201">
        <v>1</v>
      </c>
      <c r="J78" s="203">
        <v>385</v>
      </c>
      <c r="K78" s="204">
        <f>Table7[[#This Row],[سعر/م]]*Table7[[#This Row],[طول/وحدة
(م)]]</f>
        <v>385</v>
      </c>
      <c r="L78" s="200" t="s">
        <v>816</v>
      </c>
      <c r="M78" s="201">
        <v>1</v>
      </c>
      <c r="N78" s="203">
        <v>385</v>
      </c>
      <c r="O78" s="204">
        <f>Table7[[#This Row],[سعر/م.ط]]*Table7[[#This Row],[طول/وحدة
(م)2]]</f>
        <v>385</v>
      </c>
      <c r="P78" s="203">
        <v>577.5</v>
      </c>
      <c r="Q78" s="205">
        <f>Table7[[#This Row],[تثبيت
وتوصيل]]+Table7[[#This Row],[إجمالي
سلك/وحدة]]+Table7[[#This Row],[إجمالي
ماسورة/وحدة]]+Table7[[#This Row],[سعر العلبة
/وحدة]]</f>
        <v>3850</v>
      </c>
      <c r="R78" s="205">
        <f>Table7[[#This Row],[★الوحدة]]*Table7[[#This Row],[الكمية]]</f>
        <v>7700</v>
      </c>
    </row>
    <row r="79" spans="1:18" x14ac:dyDescent="0.3">
      <c r="A79" s="199">
        <v>67</v>
      </c>
      <c r="B79" s="199" t="s">
        <v>837</v>
      </c>
      <c r="C79" s="200" t="s">
        <v>643</v>
      </c>
      <c r="D79" s="201">
        <v>2</v>
      </c>
      <c r="E79" s="199" t="s">
        <v>582</v>
      </c>
      <c r="F79" s="200" t="s">
        <v>814</v>
      </c>
      <c r="G79" s="202">
        <v>1072.5</v>
      </c>
      <c r="H79" s="200" t="s">
        <v>815</v>
      </c>
      <c r="I79" s="201">
        <v>1</v>
      </c>
      <c r="J79" s="203">
        <v>165</v>
      </c>
      <c r="K79" s="204">
        <f>Table7[[#This Row],[سعر/م]]*Table7[[#This Row],[طول/وحدة
(م)]]</f>
        <v>165</v>
      </c>
      <c r="L79" s="200" t="s">
        <v>816</v>
      </c>
      <c r="M79" s="201">
        <v>1</v>
      </c>
      <c r="N79" s="203">
        <v>165</v>
      </c>
      <c r="O79" s="204">
        <f>Table7[[#This Row],[سعر/م.ط]]*Table7[[#This Row],[طول/وحدة
(م)2]]</f>
        <v>165</v>
      </c>
      <c r="P79" s="203">
        <v>247.5</v>
      </c>
      <c r="Q79" s="205">
        <f>Table7[[#This Row],[تثبيت
وتوصيل]]+Table7[[#This Row],[إجمالي
سلك/وحدة]]+Table7[[#This Row],[إجمالي
ماسورة/وحدة]]+Table7[[#This Row],[سعر العلبة
/وحدة]]</f>
        <v>1650</v>
      </c>
      <c r="R79" s="205">
        <f>Table7[[#This Row],[★الوحدة]]*Table7[[#This Row],[الكمية]]</f>
        <v>3300</v>
      </c>
    </row>
    <row r="80" spans="1:18" x14ac:dyDescent="0.3">
      <c r="A80" s="199">
        <v>68</v>
      </c>
      <c r="B80" s="199" t="s">
        <v>838</v>
      </c>
      <c r="C80" s="200" t="s">
        <v>644</v>
      </c>
      <c r="D80" s="201">
        <v>2</v>
      </c>
      <c r="E80" s="199" t="s">
        <v>582</v>
      </c>
      <c r="F80" s="200" t="s">
        <v>814</v>
      </c>
      <c r="G80" s="202">
        <v>1430</v>
      </c>
      <c r="H80" s="200" t="s">
        <v>815</v>
      </c>
      <c r="I80" s="201">
        <v>1</v>
      </c>
      <c r="J80" s="203">
        <v>220</v>
      </c>
      <c r="K80" s="204">
        <f>Table7[[#This Row],[سعر/م]]*Table7[[#This Row],[طول/وحدة
(م)]]</f>
        <v>220</v>
      </c>
      <c r="L80" s="200" t="s">
        <v>816</v>
      </c>
      <c r="M80" s="201">
        <v>1</v>
      </c>
      <c r="N80" s="203">
        <v>220</v>
      </c>
      <c r="O80" s="204">
        <f>Table7[[#This Row],[سعر/م.ط]]*Table7[[#This Row],[طول/وحدة
(م)2]]</f>
        <v>220</v>
      </c>
      <c r="P80" s="203">
        <v>330</v>
      </c>
      <c r="Q80" s="205">
        <f>Table7[[#This Row],[تثبيت
وتوصيل]]+Table7[[#This Row],[إجمالي
سلك/وحدة]]+Table7[[#This Row],[إجمالي
ماسورة/وحدة]]+Table7[[#This Row],[سعر العلبة
/وحدة]]</f>
        <v>2200</v>
      </c>
      <c r="R80" s="205">
        <f>Table7[[#This Row],[★الوحدة]]*Table7[[#This Row],[الكمية]]</f>
        <v>4400</v>
      </c>
    </row>
    <row r="81" spans="1:18" x14ac:dyDescent="0.3">
      <c r="A81" s="199">
        <v>69</v>
      </c>
      <c r="B81" s="199" t="s">
        <v>839</v>
      </c>
      <c r="C81" s="200" t="s">
        <v>645</v>
      </c>
      <c r="D81" s="201">
        <v>2</v>
      </c>
      <c r="E81" s="199" t="s">
        <v>582</v>
      </c>
      <c r="F81" s="200" t="s">
        <v>814</v>
      </c>
      <c r="G81" s="202">
        <v>715</v>
      </c>
      <c r="H81" s="200" t="s">
        <v>815</v>
      </c>
      <c r="I81" s="201">
        <v>1</v>
      </c>
      <c r="J81" s="203">
        <v>110</v>
      </c>
      <c r="K81" s="204">
        <f>Table7[[#This Row],[سعر/م]]*Table7[[#This Row],[طول/وحدة
(م)]]</f>
        <v>110</v>
      </c>
      <c r="L81" s="200" t="s">
        <v>816</v>
      </c>
      <c r="M81" s="201">
        <v>1</v>
      </c>
      <c r="N81" s="203">
        <v>110</v>
      </c>
      <c r="O81" s="204">
        <f>Table7[[#This Row],[سعر/م.ط]]*Table7[[#This Row],[طول/وحدة
(م)2]]</f>
        <v>110</v>
      </c>
      <c r="P81" s="203">
        <v>165</v>
      </c>
      <c r="Q81" s="205">
        <f>Table7[[#This Row],[تثبيت
وتوصيل]]+Table7[[#This Row],[إجمالي
سلك/وحدة]]+Table7[[#This Row],[إجمالي
ماسورة/وحدة]]+Table7[[#This Row],[سعر العلبة
/وحدة]]</f>
        <v>1100</v>
      </c>
      <c r="R81" s="205">
        <f>Table7[[#This Row],[★الوحدة]]*Table7[[#This Row],[الكمية]]</f>
        <v>2200</v>
      </c>
    </row>
    <row r="82" spans="1:18" x14ac:dyDescent="0.3">
      <c r="A82" s="199">
        <v>70</v>
      </c>
      <c r="B82" s="199" t="s">
        <v>840</v>
      </c>
      <c r="C82" s="200" t="s">
        <v>646</v>
      </c>
      <c r="D82" s="201">
        <v>1</v>
      </c>
      <c r="E82" s="199" t="s">
        <v>582</v>
      </c>
      <c r="F82" s="200" t="s">
        <v>814</v>
      </c>
      <c r="G82" s="202">
        <v>3575</v>
      </c>
      <c r="H82" s="200" t="s">
        <v>815</v>
      </c>
      <c r="I82" s="201">
        <v>1</v>
      </c>
      <c r="J82" s="203">
        <v>550</v>
      </c>
      <c r="K82" s="204">
        <f>Table7[[#This Row],[سعر/م]]*Table7[[#This Row],[طول/وحدة
(م)]]</f>
        <v>550</v>
      </c>
      <c r="L82" s="200" t="s">
        <v>816</v>
      </c>
      <c r="M82" s="201">
        <v>1</v>
      </c>
      <c r="N82" s="203">
        <v>550</v>
      </c>
      <c r="O82" s="204">
        <f>Table7[[#This Row],[سعر/م.ط]]*Table7[[#This Row],[طول/وحدة
(م)2]]</f>
        <v>550</v>
      </c>
      <c r="P82" s="203">
        <v>825</v>
      </c>
      <c r="Q82" s="205">
        <f>Table7[[#This Row],[تثبيت
وتوصيل]]+Table7[[#This Row],[إجمالي
سلك/وحدة]]+Table7[[#This Row],[إجمالي
ماسورة/وحدة]]+Table7[[#This Row],[سعر العلبة
/وحدة]]</f>
        <v>5500</v>
      </c>
      <c r="R82" s="205">
        <f>Table7[[#This Row],[★الوحدة]]*Table7[[#This Row],[الكمية]]</f>
        <v>5500</v>
      </c>
    </row>
    <row r="83" spans="1:18" x14ac:dyDescent="0.3">
      <c r="A83" s="199">
        <v>71</v>
      </c>
      <c r="B83" s="199" t="s">
        <v>841</v>
      </c>
      <c r="C83" s="200" t="s">
        <v>647</v>
      </c>
      <c r="D83" s="201">
        <v>2</v>
      </c>
      <c r="E83" s="199" t="s">
        <v>582</v>
      </c>
      <c r="F83" s="200" t="s">
        <v>814</v>
      </c>
      <c r="G83" s="202">
        <v>607.75</v>
      </c>
      <c r="H83" s="200" t="s">
        <v>815</v>
      </c>
      <c r="I83" s="201">
        <v>1</v>
      </c>
      <c r="J83" s="203">
        <v>93.5</v>
      </c>
      <c r="K83" s="204">
        <f>Table7[[#This Row],[سعر/م]]*Table7[[#This Row],[طول/وحدة
(م)]]</f>
        <v>93.5</v>
      </c>
      <c r="L83" s="200" t="s">
        <v>816</v>
      </c>
      <c r="M83" s="201">
        <v>1</v>
      </c>
      <c r="N83" s="203">
        <v>93.5</v>
      </c>
      <c r="O83" s="204">
        <f>Table7[[#This Row],[سعر/م.ط]]*Table7[[#This Row],[طول/وحدة
(م)2]]</f>
        <v>93.5</v>
      </c>
      <c r="P83" s="203">
        <v>140.25</v>
      </c>
      <c r="Q83" s="205">
        <f>Table7[[#This Row],[تثبيت
وتوصيل]]+Table7[[#This Row],[إجمالي
سلك/وحدة]]+Table7[[#This Row],[إجمالي
ماسورة/وحدة]]+Table7[[#This Row],[سعر العلبة
/وحدة]]</f>
        <v>935</v>
      </c>
      <c r="R83" s="205">
        <f>Table7[[#This Row],[★الوحدة]]*Table7[[#This Row],[الكمية]]</f>
        <v>1870</v>
      </c>
    </row>
    <row r="84" spans="1:18" x14ac:dyDescent="0.3">
      <c r="A84" s="199">
        <v>72</v>
      </c>
      <c r="B84" s="199" t="s">
        <v>842</v>
      </c>
      <c r="C84" s="200" t="s">
        <v>648</v>
      </c>
      <c r="D84" s="201">
        <v>1</v>
      </c>
      <c r="E84" s="199" t="s">
        <v>582</v>
      </c>
      <c r="F84" s="200" t="s">
        <v>814</v>
      </c>
      <c r="G84" s="202">
        <v>5005</v>
      </c>
      <c r="H84" s="200" t="s">
        <v>815</v>
      </c>
      <c r="I84" s="201">
        <v>1</v>
      </c>
      <c r="J84" s="203">
        <v>770</v>
      </c>
      <c r="K84" s="204">
        <f>Table7[[#This Row],[سعر/م]]*Table7[[#This Row],[طول/وحدة
(م)]]</f>
        <v>770</v>
      </c>
      <c r="L84" s="200" t="s">
        <v>816</v>
      </c>
      <c r="M84" s="201">
        <v>1</v>
      </c>
      <c r="N84" s="203">
        <v>770</v>
      </c>
      <c r="O84" s="204">
        <f>Table7[[#This Row],[سعر/م.ط]]*Table7[[#This Row],[طول/وحدة
(م)2]]</f>
        <v>770</v>
      </c>
      <c r="P84" s="203">
        <v>1155</v>
      </c>
      <c r="Q84" s="205">
        <f>Table7[[#This Row],[تثبيت
وتوصيل]]+Table7[[#This Row],[إجمالي
سلك/وحدة]]+Table7[[#This Row],[إجمالي
ماسورة/وحدة]]+Table7[[#This Row],[سعر العلبة
/وحدة]]</f>
        <v>7700</v>
      </c>
      <c r="R84" s="205">
        <f>Table7[[#This Row],[★الوحدة]]*Table7[[#This Row],[الكمية]]</f>
        <v>7700</v>
      </c>
    </row>
    <row r="85" spans="1:18" x14ac:dyDescent="0.3">
      <c r="A85" s="199">
        <v>73</v>
      </c>
      <c r="B85" s="199" t="s">
        <v>843</v>
      </c>
      <c r="C85" s="200" t="s">
        <v>649</v>
      </c>
      <c r="D85" s="201">
        <v>1</v>
      </c>
      <c r="E85" s="199" t="s">
        <v>582</v>
      </c>
      <c r="F85" s="200" t="s">
        <v>814</v>
      </c>
      <c r="G85" s="202">
        <v>2502.5</v>
      </c>
      <c r="H85" s="200" t="s">
        <v>815</v>
      </c>
      <c r="I85" s="201">
        <v>1</v>
      </c>
      <c r="J85" s="203">
        <v>385</v>
      </c>
      <c r="K85" s="204">
        <f>Table7[[#This Row],[سعر/م]]*Table7[[#This Row],[طول/وحدة
(م)]]</f>
        <v>385</v>
      </c>
      <c r="L85" s="200" t="s">
        <v>816</v>
      </c>
      <c r="M85" s="201">
        <v>1</v>
      </c>
      <c r="N85" s="203">
        <v>385</v>
      </c>
      <c r="O85" s="204">
        <f>Table7[[#This Row],[سعر/م.ط]]*Table7[[#This Row],[طول/وحدة
(م)2]]</f>
        <v>385</v>
      </c>
      <c r="P85" s="203">
        <v>577.5</v>
      </c>
      <c r="Q85" s="205">
        <f>Table7[[#This Row],[تثبيت
وتوصيل]]+Table7[[#This Row],[إجمالي
سلك/وحدة]]+Table7[[#This Row],[إجمالي
ماسورة/وحدة]]+Table7[[#This Row],[سعر العلبة
/وحدة]]</f>
        <v>3850</v>
      </c>
      <c r="R85" s="205">
        <f>Table7[[#This Row],[★الوحدة]]*Table7[[#This Row],[الكمية]]</f>
        <v>3850</v>
      </c>
    </row>
    <row r="86" spans="1:18" x14ac:dyDescent="0.3">
      <c r="A86" s="199">
        <v>74</v>
      </c>
      <c r="B86" s="199" t="s">
        <v>844</v>
      </c>
      <c r="C86" s="200" t="s">
        <v>650</v>
      </c>
      <c r="D86" s="201">
        <v>1</v>
      </c>
      <c r="E86" s="199" t="s">
        <v>45</v>
      </c>
      <c r="F86" s="200" t="s">
        <v>814</v>
      </c>
      <c r="G86" s="202">
        <v>7150</v>
      </c>
      <c r="H86" s="200" t="s">
        <v>815</v>
      </c>
      <c r="I86" s="201">
        <v>1</v>
      </c>
      <c r="J86" s="203">
        <v>1100</v>
      </c>
      <c r="K86" s="204">
        <f>Table7[[#This Row],[سعر/م]]*Table7[[#This Row],[طول/وحدة
(م)]]</f>
        <v>1100</v>
      </c>
      <c r="L86" s="200" t="s">
        <v>816</v>
      </c>
      <c r="M86" s="201">
        <v>1</v>
      </c>
      <c r="N86" s="203">
        <v>1100</v>
      </c>
      <c r="O86" s="204">
        <f>Table7[[#This Row],[سعر/م.ط]]*Table7[[#This Row],[طول/وحدة
(م)2]]</f>
        <v>1100</v>
      </c>
      <c r="P86" s="203">
        <v>1650</v>
      </c>
      <c r="Q86" s="205">
        <f>Table7[[#This Row],[تثبيت
وتوصيل]]+Table7[[#This Row],[إجمالي
سلك/وحدة]]+Table7[[#This Row],[إجمالي
ماسورة/وحدة]]+Table7[[#This Row],[سعر العلبة
/وحدة]]</f>
        <v>11000</v>
      </c>
      <c r="R86" s="205">
        <f>Table7[[#This Row],[★الوحدة]]*Table7[[#This Row],[الكمية]]</f>
        <v>11000</v>
      </c>
    </row>
    <row r="87" spans="1:18" x14ac:dyDescent="0.3">
      <c r="A87" s="199">
        <v>75</v>
      </c>
      <c r="B87" s="199" t="s">
        <v>845</v>
      </c>
      <c r="C87" s="200" t="s">
        <v>651</v>
      </c>
      <c r="D87" s="201">
        <v>1</v>
      </c>
      <c r="E87" s="199" t="s">
        <v>45</v>
      </c>
      <c r="F87" s="200" t="s">
        <v>814</v>
      </c>
      <c r="G87" s="202">
        <v>3575</v>
      </c>
      <c r="H87" s="200" t="s">
        <v>815</v>
      </c>
      <c r="I87" s="201">
        <v>1</v>
      </c>
      <c r="J87" s="203">
        <v>550</v>
      </c>
      <c r="K87" s="204">
        <f>Table7[[#This Row],[سعر/م]]*Table7[[#This Row],[طول/وحدة
(م)]]</f>
        <v>550</v>
      </c>
      <c r="L87" s="200" t="s">
        <v>816</v>
      </c>
      <c r="M87" s="201">
        <v>1</v>
      </c>
      <c r="N87" s="203">
        <v>550</v>
      </c>
      <c r="O87" s="204">
        <f>Table7[[#This Row],[سعر/م.ط]]*Table7[[#This Row],[طول/وحدة
(م)2]]</f>
        <v>550</v>
      </c>
      <c r="P87" s="203">
        <v>825</v>
      </c>
      <c r="Q87" s="205">
        <f>Table7[[#This Row],[تثبيت
وتوصيل]]+Table7[[#This Row],[إجمالي
سلك/وحدة]]+Table7[[#This Row],[إجمالي
ماسورة/وحدة]]+Table7[[#This Row],[سعر العلبة
/وحدة]]</f>
        <v>5500</v>
      </c>
      <c r="R87" s="205">
        <f>Table7[[#This Row],[★الوحدة]]*Table7[[#This Row],[الكمية]]</f>
        <v>5500</v>
      </c>
    </row>
    <row r="89" spans="1:18" x14ac:dyDescent="0.3">
      <c r="A89" s="206" t="s">
        <v>846</v>
      </c>
      <c r="B89" s="207"/>
      <c r="C89" s="207"/>
      <c r="D89" s="207"/>
      <c r="E89" s="207"/>
      <c r="F89" s="207"/>
      <c r="G89" s="207"/>
      <c r="H89" s="207"/>
      <c r="I89" s="207"/>
      <c r="J89" s="207"/>
      <c r="K89" s="207"/>
      <c r="L89" s="207"/>
      <c r="M89" s="207"/>
      <c r="N89" s="207"/>
      <c r="O89" s="207"/>
      <c r="P89" s="207"/>
      <c r="Q89" s="207"/>
      <c r="R89" s="207"/>
    </row>
    <row r="90" spans="1:18" x14ac:dyDescent="0.3">
      <c r="A90" s="199">
        <v>76</v>
      </c>
      <c r="B90" s="199" t="s">
        <v>847</v>
      </c>
      <c r="C90" s="200" t="s">
        <v>652</v>
      </c>
      <c r="D90" s="201">
        <v>1300</v>
      </c>
      <c r="E90" s="199" t="s">
        <v>587</v>
      </c>
      <c r="F90" s="200" t="s">
        <v>814</v>
      </c>
      <c r="G90" s="202">
        <v>14.3</v>
      </c>
      <c r="H90" s="200" t="s">
        <v>815</v>
      </c>
      <c r="I90" s="201">
        <v>1</v>
      </c>
      <c r="J90" s="203">
        <v>2.2000000000000002</v>
      </c>
      <c r="K90" s="204">
        <f>Table7[[#This Row],[سعر/م]]*Table7[[#This Row],[طول/وحدة
(م)]]</f>
        <v>2.2000000000000002</v>
      </c>
      <c r="L90" s="200" t="s">
        <v>816</v>
      </c>
      <c r="M90" s="201">
        <v>1</v>
      </c>
      <c r="N90" s="203">
        <v>2.2000000000000002</v>
      </c>
      <c r="O90" s="204">
        <f>Table7[[#This Row],[سعر/م.ط]]*Table7[[#This Row],[طول/وحدة
(م)2]]</f>
        <v>2.2000000000000002</v>
      </c>
      <c r="P90" s="203">
        <v>3.3</v>
      </c>
      <c r="Q90" s="205">
        <f>Table7[[#This Row],[تثبيت
وتوصيل]]+Table7[[#This Row],[إجمالي
سلك/وحدة]]+Table7[[#This Row],[إجمالي
ماسورة/وحدة]]+Table7[[#This Row],[سعر العلبة
/وحدة]]</f>
        <v>22</v>
      </c>
      <c r="R90" s="205">
        <f>Table7[[#This Row],[★الوحدة]]*Table7[[#This Row],[الكمية]]</f>
        <v>28600</v>
      </c>
    </row>
    <row r="91" spans="1:18" x14ac:dyDescent="0.3">
      <c r="A91" s="199">
        <v>77</v>
      </c>
      <c r="B91" s="199" t="s">
        <v>848</v>
      </c>
      <c r="C91" s="200" t="s">
        <v>653</v>
      </c>
      <c r="D91" s="201">
        <v>2220</v>
      </c>
      <c r="E91" s="199" t="s">
        <v>587</v>
      </c>
      <c r="F91" s="200" t="s">
        <v>710</v>
      </c>
      <c r="G91" s="202">
        <v>14.025</v>
      </c>
      <c r="H91" s="200" t="s">
        <v>711</v>
      </c>
      <c r="I91" s="201">
        <v>1</v>
      </c>
      <c r="J91" s="203">
        <v>0.82499999999999996</v>
      </c>
      <c r="K91" s="204">
        <f>Table7[[#This Row],[سعر/م]]*Table7[[#This Row],[طول/وحدة
(م)]]</f>
        <v>0.82499999999999996</v>
      </c>
      <c r="L91" s="200" t="s">
        <v>1065</v>
      </c>
      <c r="M91" s="201">
        <v>1</v>
      </c>
      <c r="N91" s="203">
        <v>0.82499999999999996</v>
      </c>
      <c r="O91" s="204">
        <f>Table7[[#This Row],[سعر/م.ط]]*Table7[[#This Row],[طول/وحدة
(م)2]]</f>
        <v>0.82499999999999996</v>
      </c>
      <c r="P91" s="203">
        <v>0.82499999999999996</v>
      </c>
      <c r="Q91" s="205">
        <f>Table7[[#This Row],[تثبيت
وتوصيل]]+Table7[[#This Row],[إجمالي
سلك/وحدة]]+Table7[[#This Row],[إجمالي
ماسورة/وحدة]]+Table7[[#This Row],[سعر العلبة
/وحدة]]</f>
        <v>16.5</v>
      </c>
      <c r="R91" s="205">
        <f>Table7[[#This Row],[★الوحدة]]*Table7[[#This Row],[الكمية]]</f>
        <v>36630</v>
      </c>
    </row>
    <row r="92" spans="1:18" x14ac:dyDescent="0.3">
      <c r="A92" s="199">
        <v>78</v>
      </c>
      <c r="B92" s="199" t="s">
        <v>849</v>
      </c>
      <c r="C92" s="200" t="s">
        <v>654</v>
      </c>
      <c r="D92" s="201">
        <v>10</v>
      </c>
      <c r="E92" s="199" t="s">
        <v>582</v>
      </c>
      <c r="F92" s="200" t="s">
        <v>814</v>
      </c>
      <c r="G92" s="202">
        <v>858</v>
      </c>
      <c r="H92" s="200" t="s">
        <v>815</v>
      </c>
      <c r="I92" s="201">
        <v>1</v>
      </c>
      <c r="J92" s="203">
        <v>132</v>
      </c>
      <c r="K92" s="204">
        <f>Table7[[#This Row],[سعر/م]]*Table7[[#This Row],[طول/وحدة
(م)]]</f>
        <v>132</v>
      </c>
      <c r="L92" s="200" t="s">
        <v>816</v>
      </c>
      <c r="M92" s="201">
        <v>1</v>
      </c>
      <c r="N92" s="203">
        <v>132</v>
      </c>
      <c r="O92" s="204">
        <f>Table7[[#This Row],[سعر/م.ط]]*Table7[[#This Row],[طول/وحدة
(م)2]]</f>
        <v>132</v>
      </c>
      <c r="P92" s="203">
        <v>198</v>
      </c>
      <c r="Q92" s="205">
        <f>Table7[[#This Row],[تثبيت
وتوصيل]]+Table7[[#This Row],[إجمالي
سلك/وحدة]]+Table7[[#This Row],[إجمالي
ماسورة/وحدة]]+Table7[[#This Row],[سعر العلبة
/وحدة]]</f>
        <v>1320</v>
      </c>
      <c r="R92" s="205">
        <f>Table7[[#This Row],[★الوحدة]]*Table7[[#This Row],[الكمية]]</f>
        <v>13200</v>
      </c>
    </row>
    <row r="93" spans="1:18" x14ac:dyDescent="0.3">
      <c r="A93" s="199">
        <v>79</v>
      </c>
      <c r="B93" s="199" t="s">
        <v>850</v>
      </c>
      <c r="C93" s="200" t="s">
        <v>655</v>
      </c>
      <c r="D93" s="201">
        <v>12</v>
      </c>
      <c r="E93" s="199" t="s">
        <v>582</v>
      </c>
      <c r="F93" s="200" t="s">
        <v>747</v>
      </c>
      <c r="G93" s="202">
        <v>211.75</v>
      </c>
      <c r="H93" s="200" t="s">
        <v>748</v>
      </c>
      <c r="I93" s="201">
        <v>2</v>
      </c>
      <c r="J93" s="203">
        <v>19.25</v>
      </c>
      <c r="K93" s="204">
        <f>Table7[[#This Row],[سعر/م]]*Table7[[#This Row],[طول/وحدة
(م)]]</f>
        <v>38.5</v>
      </c>
      <c r="L93" s="200" t="s">
        <v>749</v>
      </c>
      <c r="M93" s="201">
        <v>5</v>
      </c>
      <c r="N93" s="203">
        <v>11.55</v>
      </c>
      <c r="O93" s="204">
        <f>Table7[[#This Row],[سعر/م.ط]]*Table7[[#This Row],[طول/وحدة
(م)2]]</f>
        <v>57.75</v>
      </c>
      <c r="P93" s="203">
        <v>77</v>
      </c>
      <c r="Q93" s="205">
        <f>Table7[[#This Row],[تثبيت
وتوصيل]]+Table7[[#This Row],[إجمالي
سلك/وحدة]]+Table7[[#This Row],[إجمالي
ماسورة/وحدة]]+Table7[[#This Row],[سعر العلبة
/وحدة]]</f>
        <v>385</v>
      </c>
      <c r="R93" s="205">
        <f>Table7[[#This Row],[★الوحدة]]*Table7[[#This Row],[الكمية]]</f>
        <v>4620</v>
      </c>
    </row>
    <row r="94" spans="1:18" x14ac:dyDescent="0.3">
      <c r="A94" s="199">
        <v>80</v>
      </c>
      <c r="B94" s="199" t="s">
        <v>851</v>
      </c>
      <c r="C94" s="200" t="s">
        <v>656</v>
      </c>
      <c r="D94" s="201">
        <v>3</v>
      </c>
      <c r="E94" s="199" t="s">
        <v>582</v>
      </c>
      <c r="F94" s="200" t="s">
        <v>814</v>
      </c>
      <c r="G94" s="202">
        <v>3217.5</v>
      </c>
      <c r="H94" s="200" t="s">
        <v>815</v>
      </c>
      <c r="I94" s="201">
        <v>1</v>
      </c>
      <c r="J94" s="203">
        <v>495</v>
      </c>
      <c r="K94" s="204">
        <f>Table7[[#This Row],[سعر/م]]*Table7[[#This Row],[طول/وحدة
(م)]]</f>
        <v>495</v>
      </c>
      <c r="L94" s="200" t="s">
        <v>816</v>
      </c>
      <c r="M94" s="201">
        <v>1</v>
      </c>
      <c r="N94" s="203">
        <v>495</v>
      </c>
      <c r="O94" s="204">
        <f>Table7[[#This Row],[سعر/م.ط]]*Table7[[#This Row],[طول/وحدة
(م)2]]</f>
        <v>495</v>
      </c>
      <c r="P94" s="203">
        <v>742.5</v>
      </c>
      <c r="Q94" s="205">
        <f>Table7[[#This Row],[تثبيت
وتوصيل]]+Table7[[#This Row],[إجمالي
سلك/وحدة]]+Table7[[#This Row],[إجمالي
ماسورة/وحدة]]+Table7[[#This Row],[سعر العلبة
/وحدة]]</f>
        <v>4950</v>
      </c>
      <c r="R94" s="205">
        <f>Table7[[#This Row],[★الوحدة]]*Table7[[#This Row],[الكمية]]</f>
        <v>14850</v>
      </c>
    </row>
    <row r="95" spans="1:18" x14ac:dyDescent="0.3">
      <c r="A95" s="199">
        <v>81</v>
      </c>
      <c r="B95" s="199" t="s">
        <v>852</v>
      </c>
      <c r="C95" s="200" t="s">
        <v>253</v>
      </c>
      <c r="D95" s="201">
        <v>8</v>
      </c>
      <c r="E95" s="199" t="s">
        <v>582</v>
      </c>
      <c r="F95" s="200" t="s">
        <v>814</v>
      </c>
      <c r="G95" s="202">
        <v>429</v>
      </c>
      <c r="H95" s="200" t="s">
        <v>815</v>
      </c>
      <c r="I95" s="201">
        <v>1</v>
      </c>
      <c r="J95" s="203">
        <v>66</v>
      </c>
      <c r="K95" s="204">
        <f>Table7[[#This Row],[سعر/م]]*Table7[[#This Row],[طول/وحدة
(م)]]</f>
        <v>66</v>
      </c>
      <c r="L95" s="200" t="s">
        <v>816</v>
      </c>
      <c r="M95" s="201">
        <v>1</v>
      </c>
      <c r="N95" s="203">
        <v>66</v>
      </c>
      <c r="O95" s="204">
        <f>Table7[[#This Row],[سعر/م.ط]]*Table7[[#This Row],[طول/وحدة
(م)2]]</f>
        <v>66</v>
      </c>
      <c r="P95" s="203">
        <v>99</v>
      </c>
      <c r="Q95" s="205">
        <f>Table7[[#This Row],[تثبيت
وتوصيل]]+Table7[[#This Row],[إجمالي
سلك/وحدة]]+Table7[[#This Row],[إجمالي
ماسورة/وحدة]]+Table7[[#This Row],[سعر العلبة
/وحدة]]</f>
        <v>660</v>
      </c>
      <c r="R95" s="205">
        <f>Table7[[#This Row],[★الوحدة]]*Table7[[#This Row],[الكمية]]</f>
        <v>5280</v>
      </c>
    </row>
    <row r="96" spans="1:18" x14ac:dyDescent="0.3">
      <c r="A96" s="199">
        <v>82</v>
      </c>
      <c r="B96" s="199" t="s">
        <v>853</v>
      </c>
      <c r="C96" s="200" t="s">
        <v>255</v>
      </c>
      <c r="D96" s="201">
        <v>2</v>
      </c>
      <c r="E96" s="199" t="s">
        <v>582</v>
      </c>
      <c r="F96" s="200" t="s">
        <v>814</v>
      </c>
      <c r="G96" s="202">
        <v>607.75</v>
      </c>
      <c r="H96" s="200" t="s">
        <v>815</v>
      </c>
      <c r="I96" s="201">
        <v>1</v>
      </c>
      <c r="J96" s="203">
        <v>93.5</v>
      </c>
      <c r="K96" s="204">
        <f>Table7[[#This Row],[سعر/م]]*Table7[[#This Row],[طول/وحدة
(م)]]</f>
        <v>93.5</v>
      </c>
      <c r="L96" s="200" t="s">
        <v>816</v>
      </c>
      <c r="M96" s="201">
        <v>1</v>
      </c>
      <c r="N96" s="203">
        <v>93.5</v>
      </c>
      <c r="O96" s="204">
        <f>Table7[[#This Row],[سعر/م.ط]]*Table7[[#This Row],[طول/وحدة
(م)2]]</f>
        <v>93.5</v>
      </c>
      <c r="P96" s="203">
        <v>140.25</v>
      </c>
      <c r="Q96" s="205">
        <f>Table7[[#This Row],[تثبيت
وتوصيل]]+Table7[[#This Row],[إجمالي
سلك/وحدة]]+Table7[[#This Row],[إجمالي
ماسورة/وحدة]]+Table7[[#This Row],[سعر العلبة
/وحدة]]</f>
        <v>935</v>
      </c>
      <c r="R96" s="205">
        <f>Table7[[#This Row],[★الوحدة]]*Table7[[#This Row],[الكمية]]</f>
        <v>1870</v>
      </c>
    </row>
    <row r="97" spans="1:18" x14ac:dyDescent="0.3">
      <c r="A97" s="199">
        <v>83</v>
      </c>
      <c r="B97" s="199" t="s">
        <v>854</v>
      </c>
      <c r="C97" s="200" t="s">
        <v>657</v>
      </c>
      <c r="D97" s="201">
        <v>1</v>
      </c>
      <c r="E97" s="199" t="s">
        <v>45</v>
      </c>
      <c r="F97" s="200" t="s">
        <v>814</v>
      </c>
      <c r="G97" s="202">
        <v>1787.5</v>
      </c>
      <c r="H97" s="200" t="s">
        <v>815</v>
      </c>
      <c r="I97" s="201">
        <v>1</v>
      </c>
      <c r="J97" s="203">
        <v>275</v>
      </c>
      <c r="K97" s="204">
        <f>Table7[[#This Row],[سعر/م]]*Table7[[#This Row],[طول/وحدة
(م)]]</f>
        <v>275</v>
      </c>
      <c r="L97" s="200" t="s">
        <v>816</v>
      </c>
      <c r="M97" s="201">
        <v>1</v>
      </c>
      <c r="N97" s="203">
        <v>275</v>
      </c>
      <c r="O97" s="204">
        <f>Table7[[#This Row],[سعر/م.ط]]*Table7[[#This Row],[طول/وحدة
(م)2]]</f>
        <v>275</v>
      </c>
      <c r="P97" s="203">
        <v>412.5</v>
      </c>
      <c r="Q97" s="205">
        <f>Table7[[#This Row],[تثبيت
وتوصيل]]+Table7[[#This Row],[إجمالي
سلك/وحدة]]+Table7[[#This Row],[إجمالي
ماسورة/وحدة]]+Table7[[#This Row],[سعر العلبة
/وحدة]]</f>
        <v>2750</v>
      </c>
      <c r="R97" s="205">
        <f>Table7[[#This Row],[★الوحدة]]*Table7[[#This Row],[الكمية]]</f>
        <v>2750</v>
      </c>
    </row>
    <row r="98" spans="1:18" x14ac:dyDescent="0.3">
      <c r="A98" s="199">
        <v>84</v>
      </c>
      <c r="B98" s="199" t="s">
        <v>855</v>
      </c>
      <c r="C98" s="200" t="s">
        <v>658</v>
      </c>
      <c r="D98" s="201">
        <v>1</v>
      </c>
      <c r="E98" s="199" t="s">
        <v>45</v>
      </c>
      <c r="F98" s="200" t="s">
        <v>814</v>
      </c>
      <c r="G98" s="202">
        <v>5005</v>
      </c>
      <c r="H98" s="200" t="s">
        <v>815</v>
      </c>
      <c r="I98" s="201">
        <v>1</v>
      </c>
      <c r="J98" s="203">
        <v>770</v>
      </c>
      <c r="K98" s="204">
        <f>Table7[[#This Row],[سعر/م]]*Table7[[#This Row],[طول/وحدة
(م)]]</f>
        <v>770</v>
      </c>
      <c r="L98" s="200" t="s">
        <v>816</v>
      </c>
      <c r="M98" s="201">
        <v>1</v>
      </c>
      <c r="N98" s="203">
        <v>770</v>
      </c>
      <c r="O98" s="204">
        <f>Table7[[#This Row],[سعر/م.ط]]*Table7[[#This Row],[طول/وحدة
(م)2]]</f>
        <v>770</v>
      </c>
      <c r="P98" s="203">
        <v>1155</v>
      </c>
      <c r="Q98" s="205">
        <f>Table7[[#This Row],[تثبيت
وتوصيل]]+Table7[[#This Row],[إجمالي
سلك/وحدة]]+Table7[[#This Row],[إجمالي
ماسورة/وحدة]]+Table7[[#This Row],[سعر العلبة
/وحدة]]</f>
        <v>7700</v>
      </c>
      <c r="R98" s="205">
        <f>Table7[[#This Row],[★الوحدة]]*Table7[[#This Row],[الكمية]]</f>
        <v>7700</v>
      </c>
    </row>
    <row r="100" spans="1:18" x14ac:dyDescent="0.3">
      <c r="A100" s="206" t="s">
        <v>856</v>
      </c>
      <c r="B100" s="207"/>
      <c r="C100" s="207"/>
      <c r="D100" s="207"/>
      <c r="E100" s="207"/>
      <c r="F100" s="207"/>
      <c r="G100" s="207"/>
      <c r="H100" s="207"/>
      <c r="I100" s="207"/>
      <c r="J100" s="207"/>
      <c r="K100" s="207"/>
      <c r="L100" s="207"/>
      <c r="M100" s="207"/>
      <c r="N100" s="207"/>
      <c r="O100" s="207"/>
      <c r="P100" s="207"/>
      <c r="Q100" s="207"/>
      <c r="R100" s="207"/>
    </row>
    <row r="101" spans="1:18" x14ac:dyDescent="0.3">
      <c r="A101" s="199">
        <v>85</v>
      </c>
      <c r="B101" s="199" t="s">
        <v>857</v>
      </c>
      <c r="C101" s="200" t="s">
        <v>302</v>
      </c>
      <c r="D101" s="201">
        <v>100</v>
      </c>
      <c r="E101" s="199" t="s">
        <v>582</v>
      </c>
      <c r="F101" s="200" t="s">
        <v>790</v>
      </c>
      <c r="G101" s="202">
        <v>154</v>
      </c>
      <c r="H101" s="200" t="s">
        <v>791</v>
      </c>
      <c r="I101" s="201">
        <v>2</v>
      </c>
      <c r="J101" s="203">
        <v>15.4</v>
      </c>
      <c r="K101" s="204">
        <f>Table7[[#This Row],[سعر/م]]*Table7[[#This Row],[طول/وحدة
(م)]]</f>
        <v>30.8</v>
      </c>
      <c r="L101" s="200" t="s">
        <v>792</v>
      </c>
      <c r="M101" s="201">
        <v>3</v>
      </c>
      <c r="N101" s="203">
        <v>15.4</v>
      </c>
      <c r="O101" s="204">
        <f>Table7[[#This Row],[سعر/م.ط]]*Table7[[#This Row],[طول/وحدة
(م)2]]</f>
        <v>46.2</v>
      </c>
      <c r="P101" s="203">
        <v>77</v>
      </c>
      <c r="Q101" s="205">
        <f>Table7[[#This Row],[تثبيت
وتوصيل]]+Table7[[#This Row],[إجمالي
سلك/وحدة]]+Table7[[#This Row],[إجمالي
ماسورة/وحدة]]+Table7[[#This Row],[سعر العلبة
/وحدة]]</f>
        <v>308</v>
      </c>
      <c r="R101" s="205">
        <f>Table7[[#This Row],[★الوحدة]]*Table7[[#This Row],[الكمية]]</f>
        <v>30800</v>
      </c>
    </row>
    <row r="102" spans="1:18" x14ac:dyDescent="0.3">
      <c r="A102" s="199">
        <v>86</v>
      </c>
      <c r="B102" s="199" t="s">
        <v>858</v>
      </c>
      <c r="C102" s="200" t="s">
        <v>659</v>
      </c>
      <c r="D102" s="201">
        <v>22</v>
      </c>
      <c r="E102" s="199" t="s">
        <v>582</v>
      </c>
      <c r="F102" s="200" t="s">
        <v>790</v>
      </c>
      <c r="G102" s="202">
        <v>165</v>
      </c>
      <c r="H102" s="200" t="s">
        <v>791</v>
      </c>
      <c r="I102" s="201">
        <v>2</v>
      </c>
      <c r="J102" s="203">
        <v>16.5</v>
      </c>
      <c r="K102" s="204">
        <f>Table7[[#This Row],[سعر/م]]*Table7[[#This Row],[طول/وحدة
(م)]]</f>
        <v>33</v>
      </c>
      <c r="L102" s="200" t="s">
        <v>792</v>
      </c>
      <c r="M102" s="201">
        <v>3</v>
      </c>
      <c r="N102" s="203">
        <v>16.5</v>
      </c>
      <c r="O102" s="204">
        <f>Table7[[#This Row],[سعر/م.ط]]*Table7[[#This Row],[طول/وحدة
(م)2]]</f>
        <v>49.5</v>
      </c>
      <c r="P102" s="203">
        <v>82.5</v>
      </c>
      <c r="Q102" s="205">
        <f>Table7[[#This Row],[تثبيت
وتوصيل]]+Table7[[#This Row],[إجمالي
سلك/وحدة]]+Table7[[#This Row],[إجمالي
ماسورة/وحدة]]+Table7[[#This Row],[سعر العلبة
/وحدة]]</f>
        <v>330</v>
      </c>
      <c r="R102" s="205">
        <f>Table7[[#This Row],[★الوحدة]]*Table7[[#This Row],[الكمية]]</f>
        <v>7260</v>
      </c>
    </row>
    <row r="103" spans="1:18" x14ac:dyDescent="0.3">
      <c r="A103" s="199">
        <v>87</v>
      </c>
      <c r="B103" s="199" t="s">
        <v>859</v>
      </c>
      <c r="C103" s="200" t="s">
        <v>660</v>
      </c>
      <c r="D103" s="201">
        <v>15</v>
      </c>
      <c r="E103" s="199" t="s">
        <v>582</v>
      </c>
      <c r="F103" s="200" t="s">
        <v>790</v>
      </c>
      <c r="G103" s="202">
        <v>137.5</v>
      </c>
      <c r="H103" s="200" t="s">
        <v>791</v>
      </c>
      <c r="I103" s="201">
        <v>2</v>
      </c>
      <c r="J103" s="203">
        <v>13.75</v>
      </c>
      <c r="K103" s="204">
        <f>Table7[[#This Row],[سعر/م]]*Table7[[#This Row],[طول/وحدة
(م)]]</f>
        <v>27.5</v>
      </c>
      <c r="L103" s="200" t="s">
        <v>792</v>
      </c>
      <c r="M103" s="201">
        <v>3</v>
      </c>
      <c r="N103" s="203">
        <v>13.75</v>
      </c>
      <c r="O103" s="204">
        <f>Table7[[#This Row],[سعر/م.ط]]*Table7[[#This Row],[طول/وحدة
(م)2]]</f>
        <v>41.25</v>
      </c>
      <c r="P103" s="203">
        <v>68.75</v>
      </c>
      <c r="Q103" s="205">
        <f>Table7[[#This Row],[تثبيت
وتوصيل]]+Table7[[#This Row],[إجمالي
سلك/وحدة]]+Table7[[#This Row],[إجمالي
ماسورة/وحدة]]+Table7[[#This Row],[سعر العلبة
/وحدة]]</f>
        <v>275</v>
      </c>
      <c r="R103" s="205">
        <f>Table7[[#This Row],[★الوحدة]]*Table7[[#This Row],[الكمية]]</f>
        <v>4125</v>
      </c>
    </row>
    <row r="104" spans="1:18" x14ac:dyDescent="0.3">
      <c r="A104" s="199">
        <v>88</v>
      </c>
      <c r="B104" s="199" t="s">
        <v>860</v>
      </c>
      <c r="C104" s="200" t="s">
        <v>299</v>
      </c>
      <c r="D104" s="201">
        <v>4</v>
      </c>
      <c r="E104" s="199" t="s">
        <v>582</v>
      </c>
      <c r="F104" s="200" t="s">
        <v>790</v>
      </c>
      <c r="G104" s="202">
        <v>660</v>
      </c>
      <c r="H104" s="200" t="s">
        <v>791</v>
      </c>
      <c r="I104" s="201">
        <v>2</v>
      </c>
      <c r="J104" s="203">
        <v>66</v>
      </c>
      <c r="K104" s="204">
        <f>Table7[[#This Row],[سعر/م]]*Table7[[#This Row],[طول/وحدة
(م)]]</f>
        <v>132</v>
      </c>
      <c r="L104" s="200" t="s">
        <v>792</v>
      </c>
      <c r="M104" s="201">
        <v>3</v>
      </c>
      <c r="N104" s="203">
        <v>66</v>
      </c>
      <c r="O104" s="204">
        <f>Table7[[#This Row],[سعر/م.ط]]*Table7[[#This Row],[طول/وحدة
(م)2]]</f>
        <v>198</v>
      </c>
      <c r="P104" s="203">
        <v>330</v>
      </c>
      <c r="Q104" s="205">
        <f>Table7[[#This Row],[تثبيت
وتوصيل]]+Table7[[#This Row],[إجمالي
سلك/وحدة]]+Table7[[#This Row],[إجمالي
ماسورة/وحدة]]+Table7[[#This Row],[سعر العلبة
/وحدة]]</f>
        <v>1320</v>
      </c>
      <c r="R104" s="205">
        <f>Table7[[#This Row],[★الوحدة]]*Table7[[#This Row],[الكمية]]</f>
        <v>5280</v>
      </c>
    </row>
    <row r="105" spans="1:18" x14ac:dyDescent="0.3">
      <c r="A105" s="199">
        <v>89</v>
      </c>
      <c r="B105" s="199" t="s">
        <v>861</v>
      </c>
      <c r="C105" s="200" t="s">
        <v>298</v>
      </c>
      <c r="D105" s="201">
        <v>6</v>
      </c>
      <c r="E105" s="199" t="s">
        <v>582</v>
      </c>
      <c r="F105" s="200" t="s">
        <v>790</v>
      </c>
      <c r="G105" s="202">
        <v>176</v>
      </c>
      <c r="H105" s="200" t="s">
        <v>791</v>
      </c>
      <c r="I105" s="201">
        <v>2</v>
      </c>
      <c r="J105" s="203">
        <v>17.600000000000001</v>
      </c>
      <c r="K105" s="204">
        <f>Table7[[#This Row],[سعر/م]]*Table7[[#This Row],[طول/وحدة
(م)]]</f>
        <v>35.200000000000003</v>
      </c>
      <c r="L105" s="200" t="s">
        <v>792</v>
      </c>
      <c r="M105" s="201">
        <v>3</v>
      </c>
      <c r="N105" s="203">
        <v>17.600000000000001</v>
      </c>
      <c r="O105" s="204">
        <f>Table7[[#This Row],[سعر/م.ط]]*Table7[[#This Row],[طول/وحدة
(م)2]]</f>
        <v>52.800000000000004</v>
      </c>
      <c r="P105" s="203">
        <v>88</v>
      </c>
      <c r="Q105" s="205">
        <f>Table7[[#This Row],[تثبيت
وتوصيل]]+Table7[[#This Row],[إجمالي
سلك/وحدة]]+Table7[[#This Row],[إجمالي
ماسورة/وحدة]]+Table7[[#This Row],[سعر العلبة
/وحدة]]</f>
        <v>352</v>
      </c>
      <c r="R105" s="205">
        <f>Table7[[#This Row],[★الوحدة]]*Table7[[#This Row],[الكمية]]</f>
        <v>2112</v>
      </c>
    </row>
    <row r="106" spans="1:18" x14ac:dyDescent="0.3">
      <c r="A106" s="199">
        <v>90</v>
      </c>
      <c r="B106" s="199" t="s">
        <v>862</v>
      </c>
      <c r="C106" s="200" t="s">
        <v>661</v>
      </c>
      <c r="D106" s="201">
        <v>3</v>
      </c>
      <c r="E106" s="199" t="s">
        <v>582</v>
      </c>
      <c r="F106" s="200" t="s">
        <v>790</v>
      </c>
      <c r="G106" s="202">
        <v>209</v>
      </c>
      <c r="H106" s="200" t="s">
        <v>791</v>
      </c>
      <c r="I106" s="201">
        <v>2</v>
      </c>
      <c r="J106" s="203">
        <v>20.9</v>
      </c>
      <c r="K106" s="204">
        <f>Table7[[#This Row],[سعر/م]]*Table7[[#This Row],[طول/وحدة
(م)]]</f>
        <v>41.8</v>
      </c>
      <c r="L106" s="200" t="s">
        <v>792</v>
      </c>
      <c r="M106" s="201">
        <v>3</v>
      </c>
      <c r="N106" s="203">
        <v>20.9</v>
      </c>
      <c r="O106" s="204">
        <f>Table7[[#This Row],[سعر/م.ط]]*Table7[[#This Row],[طول/وحدة
(م)2]]</f>
        <v>62.699999999999996</v>
      </c>
      <c r="P106" s="203">
        <v>104.5</v>
      </c>
      <c r="Q106" s="205">
        <f>Table7[[#This Row],[تثبيت
وتوصيل]]+Table7[[#This Row],[إجمالي
سلك/وحدة]]+Table7[[#This Row],[إجمالي
ماسورة/وحدة]]+Table7[[#This Row],[سعر العلبة
/وحدة]]</f>
        <v>418</v>
      </c>
      <c r="R106" s="205">
        <f>Table7[[#This Row],[★الوحدة]]*Table7[[#This Row],[الكمية]]</f>
        <v>1254</v>
      </c>
    </row>
    <row r="107" spans="1:18" x14ac:dyDescent="0.3">
      <c r="A107" s="199">
        <v>91</v>
      </c>
      <c r="B107" s="199" t="s">
        <v>863</v>
      </c>
      <c r="C107" s="200" t="s">
        <v>662</v>
      </c>
      <c r="D107" s="201">
        <v>1</v>
      </c>
      <c r="E107" s="199" t="s">
        <v>582</v>
      </c>
      <c r="F107" s="200" t="s">
        <v>790</v>
      </c>
      <c r="G107" s="202">
        <v>137.5</v>
      </c>
      <c r="H107" s="200" t="s">
        <v>791</v>
      </c>
      <c r="I107" s="201">
        <v>2</v>
      </c>
      <c r="J107" s="203">
        <v>13.75</v>
      </c>
      <c r="K107" s="204">
        <f>Table7[[#This Row],[سعر/م]]*Table7[[#This Row],[طول/وحدة
(م)]]</f>
        <v>27.5</v>
      </c>
      <c r="L107" s="200" t="s">
        <v>792</v>
      </c>
      <c r="M107" s="201">
        <v>3</v>
      </c>
      <c r="N107" s="203">
        <v>13.75</v>
      </c>
      <c r="O107" s="204">
        <f>Table7[[#This Row],[سعر/م.ط]]*Table7[[#This Row],[طول/وحدة
(م)2]]</f>
        <v>41.25</v>
      </c>
      <c r="P107" s="203">
        <v>68.75</v>
      </c>
      <c r="Q107" s="205">
        <f>Table7[[#This Row],[تثبيت
وتوصيل]]+Table7[[#This Row],[إجمالي
سلك/وحدة]]+Table7[[#This Row],[إجمالي
ماسورة/وحدة]]+Table7[[#This Row],[سعر العلبة
/وحدة]]</f>
        <v>275</v>
      </c>
      <c r="R107" s="205">
        <f>Table7[[#This Row],[★الوحدة]]*Table7[[#This Row],[الكمية]]</f>
        <v>275</v>
      </c>
    </row>
    <row r="108" spans="1:18" x14ac:dyDescent="0.3">
      <c r="A108" s="199">
        <v>92</v>
      </c>
      <c r="B108" s="199" t="s">
        <v>864</v>
      </c>
      <c r="C108" s="200" t="s">
        <v>663</v>
      </c>
      <c r="D108" s="201">
        <v>4</v>
      </c>
      <c r="E108" s="199" t="s">
        <v>582</v>
      </c>
      <c r="F108" s="200" t="s">
        <v>790</v>
      </c>
      <c r="G108" s="202">
        <v>209</v>
      </c>
      <c r="H108" s="200" t="s">
        <v>791</v>
      </c>
      <c r="I108" s="201">
        <v>2</v>
      </c>
      <c r="J108" s="203">
        <v>20.9</v>
      </c>
      <c r="K108" s="204">
        <f>Table7[[#This Row],[سعر/م]]*Table7[[#This Row],[طول/وحدة
(م)]]</f>
        <v>41.8</v>
      </c>
      <c r="L108" s="200" t="s">
        <v>792</v>
      </c>
      <c r="M108" s="201">
        <v>3</v>
      </c>
      <c r="N108" s="203">
        <v>20.9</v>
      </c>
      <c r="O108" s="204">
        <f>Table7[[#This Row],[سعر/م.ط]]*Table7[[#This Row],[طول/وحدة
(م)2]]</f>
        <v>62.699999999999996</v>
      </c>
      <c r="P108" s="203">
        <v>104.5</v>
      </c>
      <c r="Q108" s="205">
        <f>Table7[[#This Row],[تثبيت
وتوصيل]]+Table7[[#This Row],[إجمالي
سلك/وحدة]]+Table7[[#This Row],[إجمالي
ماسورة/وحدة]]+Table7[[#This Row],[سعر العلبة
/وحدة]]</f>
        <v>418</v>
      </c>
      <c r="R108" s="205">
        <f>Table7[[#This Row],[★الوحدة]]*Table7[[#This Row],[الكمية]]</f>
        <v>1672</v>
      </c>
    </row>
    <row r="109" spans="1:18" x14ac:dyDescent="0.3">
      <c r="A109" s="199">
        <v>93</v>
      </c>
      <c r="B109" s="199" t="s">
        <v>865</v>
      </c>
      <c r="C109" s="200" t="s">
        <v>664</v>
      </c>
      <c r="D109" s="201">
        <v>5</v>
      </c>
      <c r="E109" s="199" t="s">
        <v>582</v>
      </c>
      <c r="F109" s="200" t="s">
        <v>790</v>
      </c>
      <c r="G109" s="202">
        <v>231</v>
      </c>
      <c r="H109" s="200" t="s">
        <v>791</v>
      </c>
      <c r="I109" s="201">
        <v>2</v>
      </c>
      <c r="J109" s="203">
        <v>23.1</v>
      </c>
      <c r="K109" s="204">
        <f>Table7[[#This Row],[سعر/م]]*Table7[[#This Row],[طول/وحدة
(م)]]</f>
        <v>46.2</v>
      </c>
      <c r="L109" s="200" t="s">
        <v>792</v>
      </c>
      <c r="M109" s="201">
        <v>3</v>
      </c>
      <c r="N109" s="203">
        <v>23.1</v>
      </c>
      <c r="O109" s="204">
        <f>Table7[[#This Row],[سعر/م.ط]]*Table7[[#This Row],[طول/وحدة
(م)2]]</f>
        <v>69.300000000000011</v>
      </c>
      <c r="P109" s="203">
        <v>115.5</v>
      </c>
      <c r="Q109" s="205">
        <f>Table7[[#This Row],[تثبيت
وتوصيل]]+Table7[[#This Row],[إجمالي
سلك/وحدة]]+Table7[[#This Row],[إجمالي
ماسورة/وحدة]]+Table7[[#This Row],[سعر العلبة
/وحدة]]</f>
        <v>462</v>
      </c>
      <c r="R109" s="205">
        <f>Table7[[#This Row],[★الوحدة]]*Table7[[#This Row],[الكمية]]</f>
        <v>2310</v>
      </c>
    </row>
    <row r="110" spans="1:18" x14ac:dyDescent="0.3">
      <c r="A110" s="199">
        <v>94</v>
      </c>
      <c r="B110" s="199" t="s">
        <v>866</v>
      </c>
      <c r="C110" s="200" t="s">
        <v>665</v>
      </c>
      <c r="D110" s="201">
        <v>4</v>
      </c>
      <c r="E110" s="199" t="s">
        <v>582</v>
      </c>
      <c r="F110" s="200" t="s">
        <v>790</v>
      </c>
      <c r="G110" s="202">
        <v>154</v>
      </c>
      <c r="H110" s="200" t="s">
        <v>791</v>
      </c>
      <c r="I110" s="201">
        <v>2</v>
      </c>
      <c r="J110" s="203">
        <v>15.4</v>
      </c>
      <c r="K110" s="204">
        <f>Table7[[#This Row],[سعر/م]]*Table7[[#This Row],[طول/وحدة
(م)]]</f>
        <v>30.8</v>
      </c>
      <c r="L110" s="200" t="s">
        <v>792</v>
      </c>
      <c r="M110" s="201">
        <v>3</v>
      </c>
      <c r="N110" s="203">
        <v>15.4</v>
      </c>
      <c r="O110" s="204">
        <f>Table7[[#This Row],[سعر/م.ط]]*Table7[[#This Row],[طول/وحدة
(م)2]]</f>
        <v>46.2</v>
      </c>
      <c r="P110" s="203">
        <v>77</v>
      </c>
      <c r="Q110" s="205">
        <f>Table7[[#This Row],[تثبيت
وتوصيل]]+Table7[[#This Row],[إجمالي
سلك/وحدة]]+Table7[[#This Row],[إجمالي
ماسورة/وحدة]]+Table7[[#This Row],[سعر العلبة
/وحدة]]</f>
        <v>308</v>
      </c>
      <c r="R110" s="205">
        <f>Table7[[#This Row],[★الوحدة]]*Table7[[#This Row],[الكمية]]</f>
        <v>1232</v>
      </c>
    </row>
    <row r="111" spans="1:18" x14ac:dyDescent="0.3">
      <c r="A111" s="199">
        <v>95</v>
      </c>
      <c r="B111" s="199" t="s">
        <v>867</v>
      </c>
      <c r="C111" s="200" t="s">
        <v>666</v>
      </c>
      <c r="D111" s="201">
        <v>5</v>
      </c>
      <c r="E111" s="199" t="s">
        <v>582</v>
      </c>
      <c r="F111" s="200" t="s">
        <v>790</v>
      </c>
      <c r="G111" s="202">
        <v>192.5</v>
      </c>
      <c r="H111" s="200" t="s">
        <v>791</v>
      </c>
      <c r="I111" s="201">
        <v>2</v>
      </c>
      <c r="J111" s="203">
        <v>19.25</v>
      </c>
      <c r="K111" s="204">
        <f>Table7[[#This Row],[سعر/م]]*Table7[[#This Row],[طول/وحدة
(م)]]</f>
        <v>38.5</v>
      </c>
      <c r="L111" s="200" t="s">
        <v>792</v>
      </c>
      <c r="M111" s="201">
        <v>3</v>
      </c>
      <c r="N111" s="203">
        <v>19.25</v>
      </c>
      <c r="O111" s="204">
        <f>Table7[[#This Row],[سعر/م.ط]]*Table7[[#This Row],[طول/وحدة
(م)2]]</f>
        <v>57.75</v>
      </c>
      <c r="P111" s="203">
        <v>96.25</v>
      </c>
      <c r="Q111" s="205">
        <f>Table7[[#This Row],[تثبيت
وتوصيل]]+Table7[[#This Row],[إجمالي
سلك/وحدة]]+Table7[[#This Row],[إجمالي
ماسورة/وحدة]]+Table7[[#This Row],[سعر العلبة
/وحدة]]</f>
        <v>385</v>
      </c>
      <c r="R111" s="205">
        <f>Table7[[#This Row],[★الوحدة]]*Table7[[#This Row],[الكمية]]</f>
        <v>1925</v>
      </c>
    </row>
    <row r="112" spans="1:18" x14ac:dyDescent="0.3">
      <c r="A112" s="199">
        <v>96</v>
      </c>
      <c r="B112" s="199" t="s">
        <v>868</v>
      </c>
      <c r="C112" s="200" t="s">
        <v>667</v>
      </c>
      <c r="D112" s="201">
        <v>25</v>
      </c>
      <c r="E112" s="199" t="s">
        <v>582</v>
      </c>
      <c r="F112" s="200" t="s">
        <v>790</v>
      </c>
      <c r="G112" s="202">
        <v>154</v>
      </c>
      <c r="H112" s="200" t="s">
        <v>791</v>
      </c>
      <c r="I112" s="201">
        <v>2</v>
      </c>
      <c r="J112" s="203">
        <v>15.4</v>
      </c>
      <c r="K112" s="204">
        <f>Table7[[#This Row],[سعر/م]]*Table7[[#This Row],[طول/وحدة
(م)]]</f>
        <v>30.8</v>
      </c>
      <c r="L112" s="200" t="s">
        <v>792</v>
      </c>
      <c r="M112" s="201">
        <v>3</v>
      </c>
      <c r="N112" s="203">
        <v>15.4</v>
      </c>
      <c r="O112" s="204">
        <f>Table7[[#This Row],[سعر/م.ط]]*Table7[[#This Row],[طول/وحدة
(م)2]]</f>
        <v>46.2</v>
      </c>
      <c r="P112" s="203">
        <v>77</v>
      </c>
      <c r="Q112" s="205">
        <f>Table7[[#This Row],[تثبيت
وتوصيل]]+Table7[[#This Row],[إجمالي
سلك/وحدة]]+Table7[[#This Row],[إجمالي
ماسورة/وحدة]]+Table7[[#This Row],[سعر العلبة
/وحدة]]</f>
        <v>308</v>
      </c>
      <c r="R112" s="205">
        <f>Table7[[#This Row],[★الوحدة]]*Table7[[#This Row],[الكمية]]</f>
        <v>7700</v>
      </c>
    </row>
    <row r="113" spans="1:18" x14ac:dyDescent="0.3">
      <c r="A113" s="199">
        <v>97</v>
      </c>
      <c r="B113" s="199" t="s">
        <v>869</v>
      </c>
      <c r="C113" s="200" t="s">
        <v>290</v>
      </c>
      <c r="D113" s="201">
        <v>4</v>
      </c>
      <c r="E113" s="199" t="s">
        <v>582</v>
      </c>
      <c r="F113" s="200" t="s">
        <v>790</v>
      </c>
      <c r="G113" s="202">
        <v>137.5</v>
      </c>
      <c r="H113" s="200" t="s">
        <v>791</v>
      </c>
      <c r="I113" s="201">
        <v>2</v>
      </c>
      <c r="J113" s="203">
        <v>13.75</v>
      </c>
      <c r="K113" s="204">
        <f>Table7[[#This Row],[سعر/م]]*Table7[[#This Row],[طول/وحدة
(م)]]</f>
        <v>27.5</v>
      </c>
      <c r="L113" s="200" t="s">
        <v>792</v>
      </c>
      <c r="M113" s="201">
        <v>3</v>
      </c>
      <c r="N113" s="203">
        <v>13.75</v>
      </c>
      <c r="O113" s="204">
        <f>Table7[[#This Row],[سعر/م.ط]]*Table7[[#This Row],[طول/وحدة
(م)2]]</f>
        <v>41.25</v>
      </c>
      <c r="P113" s="203">
        <v>68.75</v>
      </c>
      <c r="Q113" s="205">
        <f>Table7[[#This Row],[تثبيت
وتوصيل]]+Table7[[#This Row],[إجمالي
سلك/وحدة]]+Table7[[#This Row],[إجمالي
ماسورة/وحدة]]+Table7[[#This Row],[سعر العلبة
/وحدة]]</f>
        <v>275</v>
      </c>
      <c r="R113" s="205">
        <f>Table7[[#This Row],[★الوحدة]]*Table7[[#This Row],[الكمية]]</f>
        <v>1100</v>
      </c>
    </row>
    <row r="114" spans="1:18" x14ac:dyDescent="0.3">
      <c r="A114" s="199">
        <v>98</v>
      </c>
      <c r="B114" s="199" t="s">
        <v>870</v>
      </c>
      <c r="C114" s="200" t="s">
        <v>289</v>
      </c>
      <c r="D114" s="201">
        <v>6</v>
      </c>
      <c r="E114" s="199" t="s">
        <v>582</v>
      </c>
      <c r="F114" s="200" t="s">
        <v>790</v>
      </c>
      <c r="G114" s="202">
        <v>154</v>
      </c>
      <c r="H114" s="200" t="s">
        <v>791</v>
      </c>
      <c r="I114" s="201">
        <v>2</v>
      </c>
      <c r="J114" s="203">
        <v>15.4</v>
      </c>
      <c r="K114" s="204">
        <f>Table7[[#This Row],[سعر/م]]*Table7[[#This Row],[طول/وحدة
(م)]]</f>
        <v>30.8</v>
      </c>
      <c r="L114" s="200" t="s">
        <v>792</v>
      </c>
      <c r="M114" s="201">
        <v>3</v>
      </c>
      <c r="N114" s="203">
        <v>15.4</v>
      </c>
      <c r="O114" s="204">
        <f>Table7[[#This Row],[سعر/م.ط]]*Table7[[#This Row],[طول/وحدة
(م)2]]</f>
        <v>46.2</v>
      </c>
      <c r="P114" s="203">
        <v>77</v>
      </c>
      <c r="Q114" s="205">
        <f>Table7[[#This Row],[تثبيت
وتوصيل]]+Table7[[#This Row],[إجمالي
سلك/وحدة]]+Table7[[#This Row],[إجمالي
ماسورة/وحدة]]+Table7[[#This Row],[سعر العلبة
/وحدة]]</f>
        <v>308</v>
      </c>
      <c r="R114" s="205">
        <f>Table7[[#This Row],[★الوحدة]]*Table7[[#This Row],[الكمية]]</f>
        <v>1848</v>
      </c>
    </row>
    <row r="115" spans="1:18" x14ac:dyDescent="0.3">
      <c r="A115" s="199">
        <v>99</v>
      </c>
      <c r="B115" s="199" t="s">
        <v>871</v>
      </c>
      <c r="C115" s="200" t="s">
        <v>668</v>
      </c>
      <c r="D115" s="201">
        <v>1</v>
      </c>
      <c r="E115" s="199" t="s">
        <v>582</v>
      </c>
      <c r="F115" s="200" t="s">
        <v>790</v>
      </c>
      <c r="G115" s="202">
        <v>17600</v>
      </c>
      <c r="H115" s="200" t="s">
        <v>791</v>
      </c>
      <c r="I115" s="201">
        <v>2</v>
      </c>
      <c r="J115" s="203">
        <v>1760</v>
      </c>
      <c r="K115" s="204">
        <f>Table7[[#This Row],[سعر/م]]*Table7[[#This Row],[طول/وحدة
(م)]]</f>
        <v>3520</v>
      </c>
      <c r="L115" s="200" t="s">
        <v>792</v>
      </c>
      <c r="M115" s="201">
        <v>3</v>
      </c>
      <c r="N115" s="203">
        <v>1760</v>
      </c>
      <c r="O115" s="204">
        <f>Table7[[#This Row],[سعر/م.ط]]*Table7[[#This Row],[طول/وحدة
(م)2]]</f>
        <v>5280</v>
      </c>
      <c r="P115" s="203">
        <v>8800</v>
      </c>
      <c r="Q115" s="205">
        <f>Table7[[#This Row],[تثبيت
وتوصيل]]+Table7[[#This Row],[إجمالي
سلك/وحدة]]+Table7[[#This Row],[إجمالي
ماسورة/وحدة]]+Table7[[#This Row],[سعر العلبة
/وحدة]]</f>
        <v>35200</v>
      </c>
      <c r="R115" s="205">
        <f>Table7[[#This Row],[★الوحدة]]*Table7[[#This Row],[الكمية]]</f>
        <v>35200</v>
      </c>
    </row>
    <row r="116" spans="1:18" x14ac:dyDescent="0.3">
      <c r="A116" s="199">
        <v>100</v>
      </c>
      <c r="B116" s="199" t="s">
        <v>872</v>
      </c>
      <c r="C116" s="200" t="s">
        <v>669</v>
      </c>
      <c r="D116" s="201">
        <v>1</v>
      </c>
      <c r="E116" s="199" t="s">
        <v>45</v>
      </c>
      <c r="F116" s="200" t="s">
        <v>790</v>
      </c>
      <c r="G116" s="202">
        <v>7700</v>
      </c>
      <c r="H116" s="200" t="s">
        <v>791</v>
      </c>
      <c r="I116" s="201">
        <v>2</v>
      </c>
      <c r="J116" s="203">
        <v>770</v>
      </c>
      <c r="K116" s="204">
        <f>Table7[[#This Row],[سعر/م]]*Table7[[#This Row],[طول/وحدة
(م)]]</f>
        <v>1540</v>
      </c>
      <c r="L116" s="200" t="s">
        <v>792</v>
      </c>
      <c r="M116" s="201">
        <v>3</v>
      </c>
      <c r="N116" s="203">
        <v>770</v>
      </c>
      <c r="O116" s="204">
        <f>Table7[[#This Row],[سعر/م.ط]]*Table7[[#This Row],[طول/وحدة
(م)2]]</f>
        <v>2310</v>
      </c>
      <c r="P116" s="203">
        <v>3850</v>
      </c>
      <c r="Q116" s="205">
        <f>Table7[[#This Row],[تثبيت
وتوصيل]]+Table7[[#This Row],[إجمالي
سلك/وحدة]]+Table7[[#This Row],[إجمالي
ماسورة/وحدة]]+Table7[[#This Row],[سعر العلبة
/وحدة]]</f>
        <v>15400</v>
      </c>
      <c r="R116" s="205">
        <f>Table7[[#This Row],[★الوحدة]]*Table7[[#This Row],[الكمية]]</f>
        <v>15400</v>
      </c>
    </row>
    <row r="117" spans="1:18" x14ac:dyDescent="0.3">
      <c r="A117" s="199">
        <v>101</v>
      </c>
      <c r="B117" s="199" t="s">
        <v>873</v>
      </c>
      <c r="C117" s="200" t="s">
        <v>670</v>
      </c>
      <c r="D117" s="201">
        <v>1</v>
      </c>
      <c r="E117" s="199" t="s">
        <v>582</v>
      </c>
      <c r="F117" s="200" t="s">
        <v>790</v>
      </c>
      <c r="G117" s="202">
        <v>6600</v>
      </c>
      <c r="H117" s="200" t="s">
        <v>791</v>
      </c>
      <c r="I117" s="201">
        <v>2</v>
      </c>
      <c r="J117" s="203">
        <v>660</v>
      </c>
      <c r="K117" s="204">
        <f>Table7[[#This Row],[سعر/م]]*Table7[[#This Row],[طول/وحدة
(م)]]</f>
        <v>1320</v>
      </c>
      <c r="L117" s="200" t="s">
        <v>792</v>
      </c>
      <c r="M117" s="201">
        <v>3</v>
      </c>
      <c r="N117" s="203">
        <v>660</v>
      </c>
      <c r="O117" s="204">
        <f>Table7[[#This Row],[سعر/م.ط]]*Table7[[#This Row],[طول/وحدة
(م)2]]</f>
        <v>1980</v>
      </c>
      <c r="P117" s="203">
        <v>3300</v>
      </c>
      <c r="Q117" s="205">
        <f>Table7[[#This Row],[تثبيت
وتوصيل]]+Table7[[#This Row],[إجمالي
سلك/وحدة]]+Table7[[#This Row],[إجمالي
ماسورة/وحدة]]+Table7[[#This Row],[سعر العلبة
/وحدة]]</f>
        <v>13200</v>
      </c>
      <c r="R117" s="205">
        <f>Table7[[#This Row],[★الوحدة]]*Table7[[#This Row],[الكمية]]</f>
        <v>13200</v>
      </c>
    </row>
    <row r="119" spans="1:18" x14ac:dyDescent="0.3">
      <c r="A119" s="206" t="s">
        <v>812</v>
      </c>
      <c r="B119" s="207"/>
      <c r="C119" s="207"/>
      <c r="D119" s="207"/>
      <c r="E119" s="207"/>
      <c r="F119" s="207"/>
      <c r="G119" s="207"/>
      <c r="H119" s="207"/>
      <c r="I119" s="207"/>
      <c r="J119" s="207"/>
      <c r="K119" s="207"/>
      <c r="L119" s="207"/>
      <c r="M119" s="207"/>
      <c r="N119" s="207"/>
      <c r="O119" s="207"/>
      <c r="P119" s="207"/>
      <c r="Q119" s="207"/>
      <c r="R119" s="211">
        <f>SUBTOTAL(109,R2:R118)</f>
        <v>1478918.0750000002</v>
      </c>
    </row>
  </sheetData>
  <phoneticPr fontId="10" type="noConversion"/>
  <pageMargins left="0.75" right="0.75" top="1" bottom="1" header="0.5" footer="0.5"/>
  <pageSetup scale="30"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3BEC7-22C6-47E7-AC45-54103ABB7B8B}">
  <sheetPr codeName="Sheet7"/>
  <dimension ref="A1:R14"/>
  <sheetViews>
    <sheetView view="pageBreakPreview" zoomScaleNormal="100" zoomScaleSheetLayoutView="100" workbookViewId="0">
      <selection activeCell="K28" sqref="K28"/>
    </sheetView>
  </sheetViews>
  <sheetFormatPr defaultRowHeight="14.4" x14ac:dyDescent="0.3"/>
  <cols>
    <col min="1" max="1" width="13.21875" style="197" customWidth="1"/>
    <col min="2" max="2" width="13.6640625" style="197" customWidth="1"/>
    <col min="3" max="3" width="38" style="197" customWidth="1"/>
    <col min="4" max="5" width="13.6640625" style="197" customWidth="1"/>
    <col min="6" max="6" width="26" style="197" customWidth="1"/>
    <col min="7" max="7" width="13.6640625" style="197" customWidth="1"/>
    <col min="8" max="8" width="22" style="197" customWidth="1"/>
    <col min="9" max="9" width="13.6640625" style="197" customWidth="1"/>
    <col min="10" max="10" width="14.5546875" style="197" customWidth="1"/>
    <col min="11" max="11" width="14.21875" style="197" customWidth="1"/>
    <col min="12" max="12" width="22" style="197" customWidth="1"/>
    <col min="13" max="18" width="14.5546875" style="197" customWidth="1"/>
    <col min="19" max="16384" width="8.88671875" style="197"/>
  </cols>
  <sheetData>
    <row r="1" spans="1:18" ht="27.6" x14ac:dyDescent="0.3">
      <c r="A1" s="198" t="s">
        <v>671</v>
      </c>
      <c r="B1" s="198" t="s">
        <v>672</v>
      </c>
      <c r="C1" s="198" t="s">
        <v>673</v>
      </c>
      <c r="D1" s="198" t="s">
        <v>674</v>
      </c>
      <c r="E1" s="198" t="s">
        <v>675</v>
      </c>
      <c r="F1" s="198" t="s">
        <v>676</v>
      </c>
      <c r="G1" s="198" t="s">
        <v>677</v>
      </c>
      <c r="H1" s="198" t="s">
        <v>678</v>
      </c>
      <c r="I1" s="198" t="s">
        <v>679</v>
      </c>
      <c r="J1" s="198" t="s">
        <v>680</v>
      </c>
      <c r="K1" s="198" t="s">
        <v>681</v>
      </c>
      <c r="L1" s="198" t="s">
        <v>682</v>
      </c>
      <c r="M1" s="198" t="s">
        <v>879</v>
      </c>
      <c r="N1" s="198" t="s">
        <v>880</v>
      </c>
      <c r="O1" s="198" t="s">
        <v>683</v>
      </c>
      <c r="P1" s="198" t="s">
        <v>684</v>
      </c>
      <c r="Q1" s="198" t="s">
        <v>685</v>
      </c>
      <c r="R1" s="198" t="s">
        <v>686</v>
      </c>
    </row>
    <row r="2" spans="1:18" ht="21.75" customHeight="1" x14ac:dyDescent="0.3"/>
    <row r="3" spans="1:18" ht="24" customHeight="1" x14ac:dyDescent="0.3">
      <c r="A3" s="206" t="s">
        <v>874</v>
      </c>
      <c r="B3" s="207"/>
      <c r="C3" s="207"/>
      <c r="D3" s="207"/>
      <c r="E3" s="207"/>
      <c r="F3" s="207"/>
      <c r="G3" s="207"/>
      <c r="H3" s="207"/>
      <c r="I3" s="207"/>
      <c r="J3" s="207"/>
      <c r="K3" s="207"/>
      <c r="L3" s="207"/>
      <c r="M3" s="207"/>
      <c r="N3" s="207"/>
      <c r="O3" s="207"/>
      <c r="P3" s="207"/>
      <c r="Q3" s="207"/>
      <c r="R3" s="207"/>
    </row>
    <row r="4" spans="1:18" ht="24" customHeight="1" x14ac:dyDescent="0.3">
      <c r="A4" s="199">
        <v>1</v>
      </c>
      <c r="B4" s="199" t="s">
        <v>697</v>
      </c>
      <c r="C4" s="200" t="s">
        <v>698</v>
      </c>
      <c r="D4" s="201">
        <v>1</v>
      </c>
      <c r="E4" s="199" t="s">
        <v>582</v>
      </c>
      <c r="F4" s="200" t="s">
        <v>690</v>
      </c>
      <c r="G4" s="202">
        <v>7920</v>
      </c>
      <c r="H4" s="200" t="s">
        <v>691</v>
      </c>
      <c r="I4" s="201">
        <v>1</v>
      </c>
      <c r="J4" s="203">
        <v>1320</v>
      </c>
      <c r="K4" s="204">
        <f>Table8[[#This Row],[سعر/م]]*Table8[[#This Row],[طول/وحدة
(م)]]</f>
        <v>1320</v>
      </c>
      <c r="L4" s="200" t="s">
        <v>692</v>
      </c>
      <c r="M4" s="201">
        <v>1</v>
      </c>
      <c r="N4" s="203">
        <v>1320</v>
      </c>
      <c r="O4" s="204">
        <f>Table8[[#This Row],[سعر/م3]]*Table8[[#This Row],[طول/وحدة
(م)2]]</f>
        <v>1320</v>
      </c>
      <c r="P4" s="203">
        <v>2640</v>
      </c>
      <c r="Q4" s="205">
        <f>Table8[[#This Row],[تثبيت
وتوصيل]]+Table8[[#This Row],[إجمالي
سلك/وحدة]]+Table8[[#This Row],[إجمالي
ماسورة/وحدة]]+Table8[[#This Row],[سعر العلبة
/وحدة]]</f>
        <v>13200</v>
      </c>
      <c r="R4" s="205">
        <f>Table8[[#This Row],[★الوحدة]]*Table8[[#This Row],[الكمية]]</f>
        <v>13200</v>
      </c>
    </row>
    <row r="5" spans="1:18" ht="24" customHeight="1" x14ac:dyDescent="0.3">
      <c r="A5" s="199">
        <v>2</v>
      </c>
      <c r="B5" s="199" t="s">
        <v>705</v>
      </c>
      <c r="C5" s="200" t="s">
        <v>706</v>
      </c>
      <c r="D5" s="201">
        <v>1</v>
      </c>
      <c r="E5" s="199" t="s">
        <v>582</v>
      </c>
      <c r="F5" s="200" t="s">
        <v>690</v>
      </c>
      <c r="G5" s="202">
        <v>14520</v>
      </c>
      <c r="H5" s="200" t="s">
        <v>691</v>
      </c>
      <c r="I5" s="201">
        <v>1</v>
      </c>
      <c r="J5" s="203">
        <v>2420</v>
      </c>
      <c r="K5" s="204">
        <f>Table8[[#This Row],[سعر/م]]*Table8[[#This Row],[طول/وحدة
(م)]]</f>
        <v>2420</v>
      </c>
      <c r="L5" s="200" t="s">
        <v>692</v>
      </c>
      <c r="M5" s="201">
        <v>1</v>
      </c>
      <c r="N5" s="203">
        <v>2420</v>
      </c>
      <c r="O5" s="204">
        <f>Table8[[#This Row],[سعر/م3]]*Table8[[#This Row],[طول/وحدة
(م)2]]</f>
        <v>2420</v>
      </c>
      <c r="P5" s="203">
        <v>4840</v>
      </c>
      <c r="Q5" s="205">
        <f>Table8[[#This Row],[تثبيت
وتوصيل]]+Table8[[#This Row],[إجمالي
سلك/وحدة]]+Table8[[#This Row],[إجمالي
ماسورة/وحدة]]+Table8[[#This Row],[سعر العلبة
/وحدة]]</f>
        <v>24200</v>
      </c>
      <c r="R5" s="205">
        <f>Table8[[#This Row],[★الوحدة]]*Table8[[#This Row],[الكمية]]</f>
        <v>24200</v>
      </c>
    </row>
    <row r="6" spans="1:18" x14ac:dyDescent="0.3">
      <c r="A6" s="199">
        <v>3</v>
      </c>
      <c r="B6" s="199" t="s">
        <v>774</v>
      </c>
      <c r="C6" s="200" t="s">
        <v>775</v>
      </c>
      <c r="D6" s="201">
        <v>1</v>
      </c>
      <c r="E6" s="199" t="s">
        <v>45</v>
      </c>
      <c r="F6" s="200" t="s">
        <v>690</v>
      </c>
      <c r="G6" s="202">
        <v>29700</v>
      </c>
      <c r="H6" s="200" t="s">
        <v>691</v>
      </c>
      <c r="I6" s="201">
        <v>1</v>
      </c>
      <c r="J6" s="203">
        <v>4950</v>
      </c>
      <c r="K6" s="204">
        <f>Table8[[#This Row],[سعر/م]]*Table8[[#This Row],[طول/وحدة
(م)]]</f>
        <v>4950</v>
      </c>
      <c r="L6" s="200" t="s">
        <v>692</v>
      </c>
      <c r="M6" s="201">
        <v>1</v>
      </c>
      <c r="N6" s="203">
        <v>4950</v>
      </c>
      <c r="O6" s="204">
        <f>Table8[[#This Row],[سعر/م3]]*Table8[[#This Row],[طول/وحدة
(م)2]]</f>
        <v>4950</v>
      </c>
      <c r="P6" s="203">
        <v>9900</v>
      </c>
      <c r="Q6" s="205">
        <f>Table8[[#This Row],[تثبيت
وتوصيل]]+Table8[[#This Row],[إجمالي
سلك/وحدة]]+Table8[[#This Row],[إجمالي
ماسورة/وحدة]]+Table8[[#This Row],[سعر العلبة
/وحدة]]</f>
        <v>49500</v>
      </c>
      <c r="R6" s="205">
        <f>Table8[[#This Row],[★الوحدة]]*Table8[[#This Row],[الكمية]]</f>
        <v>49500</v>
      </c>
    </row>
    <row r="7" spans="1:18" ht="21.75" customHeight="1" x14ac:dyDescent="0.3"/>
    <row r="8" spans="1:18" ht="24" customHeight="1" x14ac:dyDescent="0.3">
      <c r="A8" s="206" t="s">
        <v>875</v>
      </c>
      <c r="B8" s="207"/>
      <c r="C8" s="207"/>
      <c r="D8" s="207"/>
      <c r="E8" s="207"/>
      <c r="F8" s="207"/>
      <c r="G8" s="207"/>
      <c r="H8" s="207"/>
      <c r="I8" s="207"/>
      <c r="J8" s="207"/>
      <c r="K8" s="207"/>
      <c r="L8" s="207"/>
      <c r="M8" s="207"/>
      <c r="N8" s="207"/>
      <c r="O8" s="207"/>
      <c r="P8" s="207"/>
      <c r="Q8" s="207"/>
      <c r="R8" s="207"/>
    </row>
    <row r="9" spans="1:18" x14ac:dyDescent="0.3">
      <c r="A9" s="199">
        <v>4</v>
      </c>
      <c r="B9" s="199" t="s">
        <v>844</v>
      </c>
      <c r="C9" s="200" t="s">
        <v>650</v>
      </c>
      <c r="D9" s="201">
        <v>1</v>
      </c>
      <c r="E9" s="199" t="s">
        <v>45</v>
      </c>
      <c r="F9" s="200" t="s">
        <v>690</v>
      </c>
      <c r="G9" s="202">
        <v>6600</v>
      </c>
      <c r="H9" s="200" t="s">
        <v>691</v>
      </c>
      <c r="I9" s="201">
        <v>1</v>
      </c>
      <c r="J9" s="203">
        <v>1100</v>
      </c>
      <c r="K9" s="204">
        <f>Table8[[#This Row],[سعر/م]]*Table8[[#This Row],[طول/وحدة
(م)]]</f>
        <v>1100</v>
      </c>
      <c r="L9" s="200" t="s">
        <v>692</v>
      </c>
      <c r="M9" s="201">
        <v>1</v>
      </c>
      <c r="N9" s="203">
        <v>1100</v>
      </c>
      <c r="O9" s="204">
        <f>Table8[[#This Row],[سعر/م3]]*Table8[[#This Row],[طول/وحدة
(م)2]]</f>
        <v>1100</v>
      </c>
      <c r="P9" s="203">
        <v>2200</v>
      </c>
      <c r="Q9" s="205">
        <f>Table8[[#This Row],[تثبيت
وتوصيل]]+Table8[[#This Row],[إجمالي
سلك/وحدة]]+Table8[[#This Row],[إجمالي
ماسورة/وحدة]]+Table8[[#This Row],[سعر العلبة
/وحدة]]</f>
        <v>11000</v>
      </c>
      <c r="R9" s="205">
        <f>Table8[[#This Row],[★الوحدة]]*Table8[[#This Row],[الكمية]]</f>
        <v>11000</v>
      </c>
    </row>
    <row r="10" spans="1:18" ht="21.75" customHeight="1" x14ac:dyDescent="0.3"/>
    <row r="11" spans="1:18" ht="24" customHeight="1" x14ac:dyDescent="0.3">
      <c r="A11" s="206" t="s">
        <v>876</v>
      </c>
      <c r="B11" s="207"/>
      <c r="C11" s="207"/>
      <c r="D11" s="207"/>
      <c r="E11" s="207"/>
      <c r="F11" s="207"/>
      <c r="G11" s="207"/>
      <c r="H11" s="207"/>
      <c r="I11" s="207"/>
      <c r="J11" s="207"/>
      <c r="K11" s="207"/>
      <c r="L11" s="207"/>
      <c r="M11" s="207"/>
      <c r="N11" s="207"/>
      <c r="O11" s="207"/>
      <c r="P11" s="207"/>
      <c r="Q11" s="207"/>
      <c r="R11" s="207"/>
    </row>
    <row r="12" spans="1:18" ht="27.6" x14ac:dyDescent="0.3">
      <c r="A12" s="199">
        <v>5</v>
      </c>
      <c r="B12" s="199" t="s">
        <v>869</v>
      </c>
      <c r="C12" s="200" t="s">
        <v>877</v>
      </c>
      <c r="D12" s="201">
        <v>1</v>
      </c>
      <c r="E12" s="199" t="s">
        <v>10</v>
      </c>
      <c r="F12" s="200" t="s">
        <v>690</v>
      </c>
      <c r="G12" s="202">
        <v>118800</v>
      </c>
      <c r="H12" s="200" t="s">
        <v>691</v>
      </c>
      <c r="I12" s="201">
        <v>1</v>
      </c>
      <c r="J12" s="203">
        <v>19800</v>
      </c>
      <c r="K12" s="204">
        <f>Table8[[#This Row],[سعر/م]]*Table8[[#This Row],[طول/وحدة
(م)]]</f>
        <v>19800</v>
      </c>
      <c r="L12" s="200" t="s">
        <v>692</v>
      </c>
      <c r="M12" s="201">
        <v>1</v>
      </c>
      <c r="N12" s="203">
        <v>19800</v>
      </c>
      <c r="O12" s="204">
        <f>Table8[[#This Row],[سعر/م3]]*Table8[[#This Row],[طول/وحدة
(م)2]]</f>
        <v>19800</v>
      </c>
      <c r="P12" s="203">
        <v>39600</v>
      </c>
      <c r="Q12" s="205">
        <f>Table8[[#This Row],[تثبيت
وتوصيل]]+Table8[[#This Row],[إجمالي
سلك/وحدة]]+Table8[[#This Row],[إجمالي
ماسورة/وحدة]]+Table8[[#This Row],[سعر العلبة
/وحدة]]</f>
        <v>198000</v>
      </c>
      <c r="R12" s="205">
        <f>Table8[[#This Row],[★الوحدة]]*Table8[[#This Row],[الكمية]]</f>
        <v>198000</v>
      </c>
    </row>
    <row r="13" spans="1:18" ht="16.2" customHeight="1" x14ac:dyDescent="0.3"/>
    <row r="14" spans="1:18" x14ac:dyDescent="0.3">
      <c r="A14" s="212" t="s">
        <v>878</v>
      </c>
      <c r="B14" s="213"/>
      <c r="C14" s="213"/>
      <c r="D14" s="213"/>
      <c r="E14" s="213"/>
      <c r="F14" s="213"/>
      <c r="G14" s="213"/>
      <c r="H14" s="213"/>
      <c r="I14" s="213"/>
      <c r="J14" s="213"/>
      <c r="K14" s="213"/>
      <c r="L14" s="213"/>
      <c r="M14" s="213"/>
      <c r="N14" s="213"/>
      <c r="O14" s="213"/>
      <c r="P14" s="213"/>
      <c r="Q14" s="213"/>
      <c r="R14" s="210">
        <f>SUBTOTAL(109,R2:R13)</f>
        <v>295900</v>
      </c>
    </row>
  </sheetData>
  <pageMargins left="0.75" right="0.75" top="1" bottom="1" header="0.5" footer="0.5"/>
  <pageSetup scale="2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Summary</vt:lpstr>
      <vt:lpstr>Electrical</vt:lpstr>
      <vt:lpstr>Low Current</vt:lpstr>
      <vt:lpstr>Low Current-missing</vt:lpstr>
      <vt:lpstr>Medical Gases</vt:lpstr>
      <vt:lpstr>بريك داون كهرباء</vt:lpstr>
      <vt:lpstr>بريك داون تيار خفيف</vt:lpstr>
      <vt:lpstr>بريك داون BMS</vt:lpstr>
      <vt:lpstr>Electrical!Print_Area</vt:lpstr>
      <vt:lpstr>'Low Current'!Print_Area</vt:lpstr>
      <vt:lpstr>'Low Current-missing'!Print_Area</vt:lpstr>
      <vt:lpstr>'Medical Gases'!Print_Area</vt:lpstr>
      <vt:lpstr>Summary!Print_Area</vt:lpstr>
      <vt:lpstr>'بريك داون كهرباء'!Print_Area</vt:lpstr>
      <vt:lpstr>Electrical!Print_Titles</vt:lpstr>
      <vt:lpstr>'Low Current'!Print_Titles</vt:lpstr>
      <vt:lpstr>'Low Current-missing'!Print_Titles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Noshad Ul Haq</dc:creator>
  <cp:lastModifiedBy>eng.ammar saed</cp:lastModifiedBy>
  <cp:lastPrinted>2026-02-16T07:11:28Z</cp:lastPrinted>
  <dcterms:created xsi:type="dcterms:W3CDTF">2024-01-03T06:57:10Z</dcterms:created>
  <dcterms:modified xsi:type="dcterms:W3CDTF">2026-04-19T08:57:53Z</dcterms:modified>
</cp:coreProperties>
</file>